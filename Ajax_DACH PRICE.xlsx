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vidDaCosta\CoworkSertek\Ajax_Jablotron\"/>
    </mc:Choice>
  </mc:AlternateContent>
  <xr:revisionPtr revIDLastSave="0" documentId="13_ncr:1_{F5C3F1CA-C10E-4D66-BFCA-C7F24EBA8E48}" xr6:coauthVersionLast="47" xr6:coauthVersionMax="47" xr10:uidLastSave="{00000000-0000-0000-0000-000000000000}"/>
  <bookViews>
    <workbookView xWindow="38280" yWindow="-120" windowWidth="38640" windowHeight="21120" xr2:uid="{00000000-000D-0000-FFFF-FFFF00000000}"/>
  </bookViews>
  <sheets>
    <sheet name="Intrusion protection | Superior" sheetId="1" r:id="rId1"/>
    <sheet name="Intrusion protection | Baseline" sheetId="2" r:id="rId2"/>
    <sheet name="Video surveillance | Superior" sheetId="3" r:id="rId3"/>
    <sheet name="Video surveillance | Baseline" sheetId="4" r:id="rId4"/>
    <sheet name="Residential | Fire &amp; life safet" sheetId="5" r:id="rId5"/>
    <sheet name="EN54  | Fire &amp; life safety" sheetId="6" r:id="rId6"/>
    <sheet name="Comfort &amp; automation" sheetId="7" r:id="rId7"/>
    <sheet name="Ajax Services" sheetId="8" r:id="rId8"/>
    <sheet name="Total"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1" i="10" l="1"/>
  <c r="D710" i="10"/>
  <c r="D699" i="10"/>
  <c r="D698" i="10"/>
  <c r="D697" i="10"/>
  <c r="D696" i="10"/>
  <c r="D695" i="10"/>
  <c r="D694" i="10"/>
  <c r="D693" i="10"/>
  <c r="D692"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35"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5" i="10"/>
  <c r="D354" i="10"/>
  <c r="D353" i="10"/>
  <c r="D352" i="10"/>
  <c r="D351" i="10"/>
  <c r="D350" i="10"/>
  <c r="D349" i="10"/>
  <c r="D348" i="10"/>
  <c r="D347" i="10"/>
  <c r="D346" i="10"/>
  <c r="D345" i="10"/>
  <c r="D344" i="10"/>
  <c r="D343" i="10"/>
  <c r="D342" i="10"/>
  <c r="D341" i="10"/>
  <c r="D340" i="10"/>
  <c r="D339" i="10"/>
  <c r="D338" i="10"/>
  <c r="D308"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5" i="10"/>
  <c r="D264" i="10"/>
  <c r="D263" i="10"/>
  <c r="D262" i="10"/>
  <c r="D261" i="10"/>
  <c r="D260" i="10"/>
  <c r="D259" i="10"/>
  <c r="D258" i="10"/>
  <c r="D257" i="10"/>
  <c r="D256" i="10"/>
  <c r="D255" i="10"/>
  <c r="D254"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197" i="10"/>
  <c r="D196" i="10"/>
  <c r="D195" i="10"/>
  <c r="D194" i="10"/>
  <c r="D193" i="10"/>
  <c r="D192" i="10"/>
  <c r="D191" i="10"/>
  <c r="D190" i="10"/>
  <c r="D189" i="10"/>
  <c r="D188" i="10"/>
  <c r="D187" i="10"/>
  <c r="D186" i="10"/>
  <c r="D185" i="10"/>
  <c r="D184" i="10"/>
  <c r="D183" i="10"/>
  <c r="D182" i="10"/>
  <c r="D181" i="10"/>
  <c r="D180" i="10"/>
  <c r="D179" i="10"/>
  <c r="D178" i="10"/>
  <c r="D177" i="10"/>
  <c r="D174" i="10"/>
  <c r="D173" i="10"/>
  <c r="D172" i="10"/>
  <c r="D171" i="10"/>
  <c r="D170" i="10"/>
  <c r="D169" i="10"/>
  <c r="D168" i="10"/>
  <c r="D167" i="10"/>
  <c r="D166" i="10"/>
  <c r="D165" i="10"/>
  <c r="D164" i="10"/>
  <c r="D163" i="10"/>
  <c r="D162" i="10"/>
  <c r="D161" i="10"/>
  <c r="D160" i="10"/>
  <c r="D159" i="10"/>
  <c r="D158" i="10"/>
  <c r="D157" i="10"/>
  <c r="D156" i="10"/>
  <c r="D155" i="10"/>
  <c r="D151" i="10"/>
  <c r="D150" i="10"/>
  <c r="D149" i="10"/>
  <c r="D148" i="10"/>
  <c r="D147" i="10"/>
  <c r="D146" i="10"/>
  <c r="D145" i="10"/>
  <c r="D144" i="10"/>
  <c r="D143" i="10"/>
  <c r="D142" i="10"/>
  <c r="D141" i="10"/>
  <c r="D140" i="10"/>
  <c r="D139" i="10"/>
  <c r="D138" i="10"/>
  <c r="D137" i="10"/>
  <c r="D136" i="10"/>
  <c r="D135"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5" i="10"/>
  <c r="D84" i="10"/>
  <c r="D83" i="10"/>
  <c r="D82" i="10"/>
  <c r="D80" i="10"/>
  <c r="D79" i="10"/>
  <c r="D78" i="10"/>
  <c r="D77" i="10"/>
  <c r="D76" i="10"/>
  <c r="D75" i="10"/>
  <c r="D74" i="10"/>
  <c r="D73" i="10"/>
  <c r="D72" i="10"/>
  <c r="D71" i="10"/>
  <c r="D70" i="10"/>
  <c r="D69" i="10"/>
  <c r="D68" i="10"/>
  <c r="D67" i="10"/>
  <c r="D66" i="10"/>
  <c r="D65" i="10"/>
  <c r="D64" i="10"/>
  <c r="D63" i="10"/>
  <c r="D62" i="10"/>
  <c r="D61" i="10"/>
  <c r="D60" i="10"/>
  <c r="D57" i="10"/>
  <c r="D56" i="10"/>
  <c r="D55" i="10"/>
  <c r="D54" i="10"/>
  <c r="D53" i="10"/>
  <c r="D52" i="10"/>
  <c r="D51" i="10"/>
  <c r="D50" i="10"/>
  <c r="D47" i="10"/>
  <c r="D46" i="10"/>
  <c r="D43" i="10"/>
  <c r="D42" i="10"/>
  <c r="D41" i="10"/>
  <c r="D40" i="10"/>
  <c r="D39" i="10"/>
  <c r="D38" i="10"/>
  <c r="D37" i="10"/>
  <c r="D36"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E206" i="7"/>
  <c r="E205" i="7"/>
  <c r="E204" i="7"/>
  <c r="E203" i="7"/>
  <c r="E202" i="7"/>
  <c r="E201" i="7"/>
  <c r="E200" i="7"/>
  <c r="E199" i="7"/>
  <c r="E198" i="7"/>
  <c r="E197" i="7"/>
  <c r="E196" i="7"/>
  <c r="E195" i="7"/>
  <c r="E194" i="7"/>
  <c r="E193" i="7"/>
  <c r="E192" i="7"/>
  <c r="E191" i="7"/>
  <c r="E190" i="7"/>
  <c r="E189" i="7"/>
  <c r="E188" i="7"/>
  <c r="E187" i="7"/>
  <c r="E186" i="7"/>
  <c r="E185" i="7"/>
  <c r="E184" i="7"/>
  <c r="E183" i="7"/>
  <c r="E167"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65" i="7"/>
  <c r="E64" i="7"/>
  <c r="E63" i="7"/>
  <c r="E62" i="7"/>
  <c r="E49" i="7"/>
  <c r="E48" i="7"/>
  <c r="E47" i="7"/>
  <c r="E40" i="7"/>
  <c r="E39" i="7"/>
  <c r="E34" i="7"/>
  <c r="E33" i="7"/>
  <c r="E28" i="7"/>
  <c r="E27" i="7"/>
  <c r="E26" i="7"/>
  <c r="E21" i="7"/>
  <c r="E20" i="7"/>
  <c r="E19" i="7"/>
  <c r="E18" i="7"/>
  <c r="E17" i="7"/>
  <c r="E16" i="7"/>
  <c r="E11" i="7"/>
  <c r="E10" i="7"/>
  <c r="E63" i="5"/>
  <c r="E33" i="5"/>
  <c r="E32" i="5"/>
  <c r="E31" i="5"/>
  <c r="E30" i="5"/>
  <c r="E29" i="5"/>
  <c r="E28" i="5"/>
  <c r="E27" i="5"/>
  <c r="E26" i="5"/>
  <c r="E25" i="5"/>
  <c r="E24" i="5"/>
  <c r="E23" i="5"/>
  <c r="E22" i="5"/>
  <c r="E21" i="5"/>
  <c r="E20" i="5"/>
  <c r="E19" i="5"/>
  <c r="E18" i="5"/>
  <c r="E17" i="5"/>
  <c r="E16" i="5"/>
  <c r="E15" i="5"/>
  <c r="E14" i="5"/>
  <c r="E13" i="5"/>
  <c r="E12" i="5"/>
  <c r="E11" i="5"/>
  <c r="E10" i="5"/>
  <c r="E131" i="4"/>
  <c r="E130" i="4"/>
  <c r="E129" i="4"/>
  <c r="E128" i="4"/>
  <c r="E127" i="4"/>
  <c r="E126" i="4"/>
  <c r="E125" i="4"/>
  <c r="E124" i="4"/>
  <c r="E123" i="4"/>
  <c r="E122" i="4"/>
  <c r="E101" i="4"/>
  <c r="E100" i="4"/>
  <c r="E99" i="4"/>
  <c r="E98" i="4"/>
  <c r="E97" i="4"/>
  <c r="E96" i="4"/>
  <c r="E95" i="4"/>
  <c r="E94" i="4"/>
  <c r="E83" i="4"/>
  <c r="E82" i="4"/>
  <c r="E81" i="4"/>
  <c r="E80" i="4"/>
  <c r="E79" i="4"/>
  <c r="E78" i="4"/>
  <c r="E77" i="4"/>
  <c r="E76" i="4"/>
  <c r="E75" i="4"/>
  <c r="E74" i="4"/>
  <c r="E73" i="4"/>
  <c r="E72" i="4"/>
  <c r="E156" i="2"/>
  <c r="E155" i="2"/>
  <c r="E154" i="2"/>
  <c r="E153" i="2"/>
  <c r="E148" i="2"/>
  <c r="E143" i="2"/>
  <c r="E142" i="2"/>
  <c r="E141" i="2"/>
  <c r="E136" i="2"/>
  <c r="E135" i="2"/>
  <c r="E134" i="2"/>
  <c r="E133" i="2"/>
  <c r="E132" i="2"/>
  <c r="E131" i="2"/>
  <c r="E130" i="2"/>
  <c r="E129" i="2"/>
  <c r="E124" i="2"/>
  <c r="E123" i="2"/>
  <c r="E122" i="2"/>
  <c r="E121" i="2"/>
  <c r="E120" i="2"/>
  <c r="E119" i="2"/>
  <c r="E118" i="2"/>
  <c r="E117" i="2"/>
  <c r="E106" i="2"/>
  <c r="E105" i="2"/>
  <c r="E104" i="2"/>
  <c r="E103" i="2"/>
  <c r="E102" i="2"/>
  <c r="E101" i="2"/>
  <c r="E100" i="2"/>
  <c r="E99" i="2"/>
  <c r="E98" i="2"/>
  <c r="E97" i="2"/>
  <c r="E96" i="2"/>
  <c r="E95" i="2"/>
  <c r="E94" i="2"/>
  <c r="E93" i="2"/>
  <c r="E92" i="2"/>
  <c r="E91" i="2"/>
  <c r="E90" i="2"/>
  <c r="E89" i="2"/>
  <c r="E88" i="2"/>
  <c r="E87" i="2"/>
  <c r="E83" i="2"/>
  <c r="E82" i="2"/>
  <c r="E81" i="2"/>
  <c r="E80" i="2"/>
  <c r="E79" i="2"/>
  <c r="E78" i="2"/>
  <c r="E73" i="2"/>
  <c r="E72" i="2"/>
  <c r="E71" i="2"/>
  <c r="E70" i="2"/>
  <c r="E69" i="2"/>
  <c r="E68" i="2"/>
  <c r="E67" i="2"/>
  <c r="E66" i="2"/>
  <c r="E65" i="2"/>
  <c r="E64" i="2"/>
  <c r="E61" i="2"/>
  <c r="E58" i="2"/>
  <c r="E57" i="2"/>
  <c r="E56" i="2"/>
  <c r="E55" i="2"/>
  <c r="E54" i="2"/>
  <c r="E53" i="2"/>
  <c r="E52" i="2"/>
  <c r="E51" i="2"/>
  <c r="E50" i="2"/>
  <c r="E49" i="2"/>
  <c r="E48" i="2"/>
  <c r="E43" i="2"/>
  <c r="E42" i="2"/>
  <c r="E37" i="2"/>
  <c r="E36" i="2"/>
  <c r="E35" i="2"/>
  <c r="E34" i="2"/>
  <c r="E29" i="2"/>
  <c r="E28" i="2"/>
  <c r="E27" i="2"/>
  <c r="E26" i="2"/>
  <c r="E21" i="2"/>
  <c r="E20" i="2"/>
  <c r="E19" i="2"/>
  <c r="E18" i="2"/>
  <c r="E17" i="2"/>
  <c r="E16" i="2"/>
  <c r="E15" i="2"/>
  <c r="E14" i="2"/>
  <c r="E13" i="2"/>
  <c r="E12" i="2"/>
  <c r="E11" i="2"/>
  <c r="E194" i="1"/>
  <c r="E193" i="1"/>
  <c r="E192" i="1"/>
  <c r="E191" i="1"/>
  <c r="E188" i="1"/>
  <c r="E187" i="1"/>
  <c r="E186" i="1"/>
  <c r="E185" i="1"/>
  <c r="E184" i="1"/>
  <c r="E183" i="1"/>
  <c r="E182" i="1"/>
  <c r="E181" i="1"/>
  <c r="E176" i="1"/>
  <c r="E169" i="1"/>
  <c r="E168" i="1"/>
  <c r="E167" i="1"/>
  <c r="E166" i="1"/>
  <c r="E157" i="1"/>
  <c r="E156" i="1"/>
  <c r="E155" i="1"/>
  <c r="E154" i="1"/>
  <c r="E140" i="1"/>
  <c r="E139" i="1"/>
  <c r="E138" i="1"/>
  <c r="E137" i="1"/>
  <c r="E136" i="1"/>
  <c r="E135" i="1"/>
  <c r="E134" i="1"/>
  <c r="E133" i="1"/>
  <c r="E132" i="1"/>
  <c r="E131" i="1"/>
  <c r="E130" i="1"/>
  <c r="E129" i="1"/>
  <c r="E128" i="1"/>
  <c r="E127" i="1"/>
  <c r="E118" i="1"/>
  <c r="E117" i="1"/>
  <c r="E116" i="1"/>
  <c r="E111" i="1"/>
  <c r="E110" i="1"/>
  <c r="E109" i="1"/>
  <c r="E108" i="1"/>
  <c r="E107" i="1"/>
  <c r="E106" i="1"/>
  <c r="E91" i="1"/>
  <c r="E90" i="1"/>
  <c r="E87" i="1"/>
  <c r="E86" i="1"/>
  <c r="E85" i="1"/>
  <c r="E84" i="1"/>
  <c r="E83" i="1"/>
  <c r="E82" i="1"/>
  <c r="E81" i="1"/>
  <c r="E80" i="1"/>
  <c r="E77" i="1"/>
  <c r="E76" i="1"/>
  <c r="E75" i="1"/>
  <c r="E74" i="1"/>
  <c r="E73" i="1"/>
  <c r="E72" i="1"/>
  <c r="E71" i="1"/>
  <c r="E70" i="1"/>
  <c r="E69" i="1"/>
  <c r="E68" i="1"/>
  <c r="E67" i="1"/>
  <c r="E62" i="1"/>
  <c r="E61" i="1"/>
  <c r="E60" i="1"/>
  <c r="E59" i="1"/>
  <c r="E52" i="1"/>
  <c r="E51" i="1"/>
  <c r="E50" i="1"/>
  <c r="E49" i="1"/>
  <c r="E48" i="1"/>
  <c r="E47" i="1"/>
  <c r="E46" i="1"/>
  <c r="E45" i="1"/>
  <c r="E44" i="1"/>
  <c r="E43" i="1"/>
  <c r="E18" i="1"/>
  <c r="E17" i="1"/>
  <c r="E16" i="1"/>
  <c r="E15" i="1"/>
  <c r="E14" i="1"/>
</calcChain>
</file>

<file path=xl/sharedStrings.xml><?xml version="1.0" encoding="utf-8"?>
<sst xmlns="http://schemas.openxmlformats.org/spreadsheetml/2006/main" count="5833" uniqueCount="1209">
  <si>
    <t xml:space="preserve">       New generation of
       wireless security systems</t>
  </si>
  <si>
    <r>
      <rPr>
        <b/>
        <sz val="10"/>
        <color rgb="FFFF0000"/>
        <rFont val="Roboto"/>
      </rPr>
      <t xml:space="preserve">Superior                                                                             
</t>
    </r>
    <r>
      <rPr>
        <b/>
        <sz val="10"/>
        <color rgb="FF4BAA79"/>
        <rFont val="Roboto"/>
      </rPr>
      <t xml:space="preserve">                                                                                </t>
    </r>
  </si>
  <si>
    <r>
      <rPr>
        <b/>
        <sz val="12"/>
        <color theme="1"/>
        <rFont val="Roboto"/>
      </rPr>
      <t xml:space="preserve">Superior and Fibra product lines are merging into the </t>
    </r>
    <r>
      <rPr>
        <b/>
        <sz val="12"/>
        <color theme="1"/>
        <rFont val="Roboto"/>
      </rPr>
      <t>Superior product line</t>
    </r>
    <r>
      <rPr>
        <b/>
        <sz val="12"/>
        <color theme="1"/>
        <rFont val="Roboto"/>
      </rPr>
      <t xml:space="preserve"> in the Intrusion protection product category. </t>
    </r>
    <r>
      <rPr>
        <sz val="12"/>
        <color theme="1"/>
        <rFont val="Roboto"/>
      </rPr>
      <t xml:space="preserve">This resegmentation comes with change of names for existing Superior and Fibra Devices. We introduce "container logic" by adding Superior to the device name. For example Hub Hybrid (4G) will become Superior Hub Hybrid (4G), DoorProtect S Jeweller will become Superior DoorProtect Jeweller and so on. This changes will be implemented in the following months.  </t>
    </r>
  </si>
  <si>
    <t>Control panels</t>
  </si>
  <si>
    <t>TDS</t>
  </si>
  <si>
    <t>EAN</t>
  </si>
  <si>
    <t>Article</t>
  </si>
  <si>
    <t>Code</t>
  </si>
  <si>
    <t>Item</t>
  </si>
  <si>
    <t>Color</t>
  </si>
  <si>
    <t>Type of connection</t>
  </si>
  <si>
    <t>Installer</t>
  </si>
  <si>
    <t>UVP (VAT not included)</t>
  </si>
  <si>
    <t>Link</t>
  </si>
  <si>
    <t>143565.111.BL1</t>
  </si>
  <si>
    <t>Superior Hub Hybrid (2G)</t>
  </si>
  <si>
    <t>black</t>
  </si>
  <si>
    <t>Hybrid</t>
  </si>
  <si>
    <t>143566.111.WH1</t>
  </si>
  <si>
    <t>white</t>
  </si>
  <si>
    <t>143579.111.BL1</t>
  </si>
  <si>
    <t>Superior Hub Hybrid (4G)</t>
  </si>
  <si>
    <t>143580.111.WH1</t>
  </si>
  <si>
    <t>124104.267.NC</t>
  </si>
  <si>
    <t>Superior Hub Hybrid (4G) (without casing)</t>
  </si>
  <si>
    <t>-</t>
  </si>
  <si>
    <t>142514.369.BL1</t>
  </si>
  <si>
    <t xml:space="preserve">Superior Hub Hybrid 2 </t>
  </si>
  <si>
    <t>142513.369.WH1</t>
  </si>
  <si>
    <t>142512.369.NC</t>
  </si>
  <si>
    <t>Superior Hub Hybrid 2 (without casing)</t>
  </si>
  <si>
    <t>158639.384.BL1</t>
  </si>
  <si>
    <t xml:space="preserve">Superior MegaHub </t>
  </si>
  <si>
    <t>158643.384.WH1</t>
  </si>
  <si>
    <t>141802.366.NC</t>
  </si>
  <si>
    <t>Superior MegaHub (without casing)</t>
  </si>
  <si>
    <t>148937.362.BL1</t>
  </si>
  <si>
    <t>Superior Hub G3 Jeweller</t>
  </si>
  <si>
    <t>Wireless</t>
  </si>
  <si>
    <t>148936.362.WH1</t>
  </si>
  <si>
    <t>Range extenders</t>
  </si>
  <si>
    <t>MSRP*</t>
  </si>
  <si>
    <t>156123.363.BL1</t>
  </si>
  <si>
    <t>Superior ReX G3 Jeweller</t>
  </si>
  <si>
    <t>156122.363.WH1</t>
  </si>
  <si>
    <t>Internal batteries for wireless G3 hub and range extender</t>
  </si>
  <si>
    <t>149036.375.BL</t>
  </si>
  <si>
    <t>Superior Internal Battery (16h)</t>
  </si>
  <si>
    <t>149035.375.WH</t>
  </si>
  <si>
    <t>149038.376.BL</t>
  </si>
  <si>
    <t>Superior Internal Battery (60h)</t>
  </si>
  <si>
    <t>149037.376.WH</t>
  </si>
  <si>
    <t>Opening detectors</t>
  </si>
  <si>
    <t>133195.03.BL1</t>
  </si>
  <si>
    <t>Superior DoorProtect Jeweller</t>
  </si>
  <si>
    <t>133194.03.WH1</t>
  </si>
  <si>
    <t>133199.21.BL1</t>
  </si>
  <si>
    <t>Superior DoorProtect Plus Jeweller</t>
  </si>
  <si>
    <t>133198.21.WH1</t>
  </si>
  <si>
    <t>44392.03.BL1</t>
  </si>
  <si>
    <t>DoorProtect Fibra</t>
  </si>
  <si>
    <t>Wired</t>
  </si>
  <si>
    <t>44393.03.WH1</t>
  </si>
  <si>
    <t>44394.21.BL1</t>
  </si>
  <si>
    <t>DoorProtect Plus Fibra</t>
  </si>
  <si>
    <t>44395.13.WH1</t>
  </si>
  <si>
    <t>143555.177.BL1</t>
  </si>
  <si>
    <t>Superior DoorProtect G3 Fibra</t>
  </si>
  <si>
    <t>143556.177.WH1</t>
  </si>
  <si>
    <t>130591.347.BL1</t>
  </si>
  <si>
    <t>Superior DoorProtect G3 Jeweller</t>
  </si>
  <si>
    <t>130590.347.WH1</t>
  </si>
  <si>
    <t>Glass break detectors</t>
  </si>
  <si>
    <t>133203.05.BL1</t>
  </si>
  <si>
    <t>Superior GlassProtect Jeweller</t>
  </si>
  <si>
    <t>133202.05.WH1</t>
  </si>
  <si>
    <t>44396.05.BL1</t>
  </si>
  <si>
    <t>GlassProtect Fibra</t>
  </si>
  <si>
    <t>44397.05.WH1</t>
  </si>
  <si>
    <t>Motion detectors</t>
  </si>
  <si>
    <t>133219.09.BL1</t>
  </si>
  <si>
    <t>Superior MotionProtect Jeweller</t>
  </si>
  <si>
    <t>133218.09.WH1</t>
  </si>
  <si>
    <t>133223.02.BL1</t>
  </si>
  <si>
    <t>Superior MotionProtect Plus Jeweller</t>
  </si>
  <si>
    <t>133222.02.WH1</t>
  </si>
  <si>
    <t>133215.120.BL1</t>
  </si>
  <si>
    <t>Superior MotionCam (PhOD) Jeweller</t>
  </si>
  <si>
    <t>133214.120.WH1</t>
  </si>
  <si>
    <t>116768.306.WH1</t>
  </si>
  <si>
    <t>Superior MotionCam AM (PhOD) Jeweller </t>
  </si>
  <si>
    <t>118275.309.BL1</t>
  </si>
  <si>
    <t>Superior MotionCam HD (PhOD) Jeweller </t>
  </si>
  <si>
    <t>118274.309.WH1</t>
  </si>
  <si>
    <t>133191.06.BL1</t>
  </si>
  <si>
    <t>Superior CombiProtect Jeweller</t>
  </si>
  <si>
    <t>133190.06.WH1</t>
  </si>
  <si>
    <t>143617.09.BL1</t>
  </si>
  <si>
    <t>Superior MotionProtect Fibra</t>
  </si>
  <si>
    <t>143618.09.WH1</t>
  </si>
  <si>
    <t>143623.02.BL1</t>
  </si>
  <si>
    <t>Superior MotionProtect Plus Fibra</t>
  </si>
  <si>
    <t>143624.02.WH1</t>
  </si>
  <si>
    <t>44402.23.BL1</t>
  </si>
  <si>
    <t>MotionCam Fibra</t>
  </si>
  <si>
    <t>44403.23.WH1</t>
  </si>
  <si>
    <t>143611.169.BL1</t>
  </si>
  <si>
    <t>Superior MotionCam (PhOD) Fibra</t>
  </si>
  <si>
    <t>143612.169.WH1</t>
  </si>
  <si>
    <t>44390.06.BL1</t>
  </si>
  <si>
    <t>CombiProtect Fibra</t>
  </si>
  <si>
    <t>44391.06.WH1</t>
  </si>
  <si>
    <t>130575.09.BL1</t>
  </si>
  <si>
    <t>Superior MotionProtect G3 Fibra</t>
  </si>
  <si>
    <t>130573.09.WH1</t>
  </si>
  <si>
    <t>117716.09.BL1</t>
  </si>
  <si>
    <t>Superior MotionProtect Plus G3 Fibra</t>
  </si>
  <si>
    <t>117717.09.WH1</t>
  </si>
  <si>
    <t>135980.09.BL1</t>
  </si>
  <si>
    <t>Superior MotionProtect G3 Jeweller</t>
  </si>
  <si>
    <t>135979.09.WH1</t>
  </si>
  <si>
    <t>149424.120.BL1</t>
  </si>
  <si>
    <t>Superior MotionCam G3 (PhOD) Jeweller</t>
  </si>
  <si>
    <t>142681.120.WH1</t>
  </si>
  <si>
    <t>Seismo detectors</t>
  </si>
  <si>
    <t>117736.269.BL1</t>
  </si>
  <si>
    <t>Superior SeismoProtect G3 Fibra</t>
  </si>
  <si>
    <t>117737.269.WH1</t>
  </si>
  <si>
    <t>Control devices</t>
  </si>
  <si>
    <t>133211.83.BL1</t>
  </si>
  <si>
    <t>Superior KeyPad Plus Jeweller</t>
  </si>
  <si>
    <t>133210.83.WH1</t>
  </si>
  <si>
    <t>133187.26.BL1</t>
  </si>
  <si>
    <t>Superior Button Jeweller</t>
  </si>
  <si>
    <t>133186.26.WH1</t>
  </si>
  <si>
    <t xml:space="preserve">Superior Button Jeweller </t>
  </si>
  <si>
    <t>110754.04.BL1</t>
  </si>
  <si>
    <t>SpaceControl S Jeweller</t>
  </si>
  <si>
    <t>110753.04.WH1</t>
  </si>
  <si>
    <t>143600.12.BL1</t>
  </si>
  <si>
    <t>Superior Keypad Fibra</t>
  </si>
  <si>
    <t>143601.12.WH1</t>
  </si>
  <si>
    <t>143607.226.BL1</t>
  </si>
  <si>
    <t>Superior KeyPad TouchScreen Fibra</t>
  </si>
  <si>
    <t>143608.226.WH1</t>
  </si>
  <si>
    <t>117760.285.BL</t>
  </si>
  <si>
    <t>Superior KeyPad Outdoor Fibra</t>
  </si>
  <si>
    <t>117761.285.GP</t>
  </si>
  <si>
    <t>graphite</t>
  </si>
  <si>
    <t>117759.285.WH</t>
  </si>
  <si>
    <t>139675.83.BL1</t>
  </si>
  <si>
    <t>Superior KeyPad Plus G3 Jeweller</t>
  </si>
  <si>
    <t>139676.83.WH1</t>
  </si>
  <si>
    <t>149673.148.BL1</t>
  </si>
  <si>
    <t>Superior KeyPad TouchScreen G3 Jeweller</t>
  </si>
  <si>
    <t>149672.148.WH1</t>
  </si>
  <si>
    <t>Sirens</t>
  </si>
  <si>
    <t>133207.11.BL1</t>
  </si>
  <si>
    <t>Superior HomeSiren Jeweller</t>
  </si>
  <si>
    <t>133206.11.WH1</t>
  </si>
  <si>
    <t>133227.61.BL1</t>
  </si>
  <si>
    <t>Superior StreetSiren DoubleDeck Jeweller</t>
  </si>
  <si>
    <t>133226.61.WH1</t>
  </si>
  <si>
    <t>117720.308.BL1</t>
  </si>
  <si>
    <t>Superior StreetSiren Plus Jeweller</t>
  </si>
  <si>
    <t>117721.308.WH1</t>
  </si>
  <si>
    <t>143559.11.BL1</t>
  </si>
  <si>
    <t>Superior HomeSiren Fibra</t>
  </si>
  <si>
    <t>143560.11.WH1</t>
  </si>
  <si>
    <t>44411.07.BL1</t>
  </si>
  <si>
    <t>StreetSiren Fibra</t>
  </si>
  <si>
    <t>44412.07.WH1</t>
  </si>
  <si>
    <t>143637.61.BL1</t>
  </si>
  <si>
    <t>Superior StreetSiren DoubleDeck Fibra</t>
  </si>
  <si>
    <t>143638.61.WH1</t>
  </si>
  <si>
    <t>117726.268.BL1</t>
  </si>
  <si>
    <t>Superior StreetSiren Plus Fibra</t>
  </si>
  <si>
    <t>117727.268.WH1</t>
  </si>
  <si>
    <t>140412.11.BL1</t>
  </si>
  <si>
    <t>Superior HomeSiren G3 Jeweller</t>
  </si>
  <si>
    <t>140411.11.WH1</t>
  </si>
  <si>
    <t>137750.308.BL1</t>
  </si>
  <si>
    <t>Superior StreetSiren Plus G3 Jeweller</t>
  </si>
  <si>
    <t>137749.308.WH1</t>
  </si>
  <si>
    <t>Buttons</t>
  </si>
  <si>
    <t>138643.79.BL1</t>
  </si>
  <si>
    <t>Superior DoubleButton G3 Jeweller</t>
  </si>
  <si>
    <t>138642.79.WH1</t>
  </si>
  <si>
    <t>Integration modules</t>
  </si>
  <si>
    <t>143631.62.BL1</t>
  </si>
  <si>
    <t>Superior MultiTransmitter Fibra</t>
  </si>
  <si>
    <t>143632.62.WH1</t>
  </si>
  <si>
    <t>123264.304.NC</t>
  </si>
  <si>
    <t>Superior MultiTransmitter Fibra (without casing)</t>
  </si>
  <si>
    <t>143643.182.NC1</t>
  </si>
  <si>
    <t>Superior Transmitter Fibra</t>
  </si>
  <si>
    <t>117739.294.NC</t>
  </si>
  <si>
    <t>Superior MultiTransmitter IO (4x4) Fibra</t>
  </si>
  <si>
    <t>135261.62.BL1</t>
  </si>
  <si>
    <t>Superior MultiTransmitter G3 Jeweller</t>
  </si>
  <si>
    <t>135262.62.WH1</t>
  </si>
  <si>
    <t>142171.367.NC</t>
  </si>
  <si>
    <t>Superior MultiTransmitter G3 Jeweller (without casing)</t>
  </si>
  <si>
    <t>Accessories</t>
  </si>
  <si>
    <t>61384.178.NC</t>
  </si>
  <si>
    <t>LineProtect Fibra</t>
  </si>
  <si>
    <t>143609.170.NC1</t>
  </si>
  <si>
    <t>Superior LineSplit Fibra</t>
  </si>
  <si>
    <t>82132.181.BL1</t>
  </si>
  <si>
    <t>LineSupply (45 W) Fibra</t>
  </si>
  <si>
    <t>82131.181.WH1</t>
  </si>
  <si>
    <t>117732.181.BL1</t>
  </si>
  <si>
    <t>Superior LineSupply (75 W) Fibra</t>
  </si>
  <si>
    <t>117733.181.WH1</t>
  </si>
  <si>
    <t>Relays</t>
  </si>
  <si>
    <t>127496.183.NC1</t>
  </si>
  <si>
    <t>Superior MultiRelay Fibra</t>
  </si>
  <si>
    <t>Cases</t>
  </si>
  <si>
    <t>63139.186.BL</t>
  </si>
  <si>
    <t>Case A (106)</t>
  </si>
  <si>
    <t>63138.186.WH</t>
  </si>
  <si>
    <t>62947.186.BL</t>
  </si>
  <si>
    <t>Case B (175)</t>
  </si>
  <si>
    <t>62946.186.WH</t>
  </si>
  <si>
    <t>67829.186.BL</t>
  </si>
  <si>
    <t>Case C (260)</t>
  </si>
  <si>
    <t>67828.186.WH</t>
  </si>
  <si>
    <t>65977.186.BL</t>
  </si>
  <si>
    <t>Case D (430)</t>
  </si>
  <si>
    <t>65976.186.WH</t>
  </si>
  <si>
    <t>4823114087219</t>
  </si>
  <si>
    <t>152252.377.BL</t>
  </si>
  <si>
    <t>Case E (395)</t>
  </si>
  <si>
    <t>4823114087202</t>
  </si>
  <si>
    <t>152251.377.WH</t>
  </si>
  <si>
    <t>4823114047923</t>
  </si>
  <si>
    <t>77657.216.BL</t>
  </si>
  <si>
    <t>Ajax Module Holder (type A)</t>
  </si>
  <si>
    <t>4823114047930</t>
  </si>
  <si>
    <t>77658.216.WH</t>
  </si>
  <si>
    <t>4823114048104</t>
  </si>
  <si>
    <t>78945.216.BL</t>
  </si>
  <si>
    <t>Ajax Module Holder (type B)</t>
  </si>
  <si>
    <t>4823114048098</t>
  </si>
  <si>
    <t>78944.216.WH</t>
  </si>
  <si>
    <t>Baseline</t>
  </si>
  <si>
    <t>38236.01.BL1</t>
  </si>
  <si>
    <t>Hub (2G) Jeweller</t>
  </si>
  <si>
    <t>38237.01.WH1</t>
  </si>
  <si>
    <t>38238.40.BL1</t>
  </si>
  <si>
    <t>Hub 2 (2G) Jeweller</t>
  </si>
  <si>
    <t>38239.40.WH1</t>
  </si>
  <si>
    <t>38240.108.BL1</t>
  </si>
  <si>
    <t>Hub 2 (4G) Jeweller</t>
  </si>
  <si>
    <t>38241.108.WH1</t>
  </si>
  <si>
    <t>38244.40.BL1</t>
  </si>
  <si>
    <t>Hub 2 Plus Jeweller</t>
  </si>
  <si>
    <t>38245.40.WH1</t>
  </si>
  <si>
    <t>149623.263.BL1</t>
  </si>
  <si>
    <t>Hub BP Jeweller (8EU/UEU)</t>
  </si>
  <si>
    <t>149624.263.WH1</t>
  </si>
  <si>
    <t>147147.312.NC</t>
  </si>
  <si>
    <t>Hub BP Jeweller (without casing) (8EU/UEU)</t>
  </si>
  <si>
    <t>38206.37.BL1</t>
  </si>
  <si>
    <t>ReX</t>
  </si>
  <si>
    <t>38205.37.WH1</t>
  </si>
  <si>
    <t>38208.106.BL1</t>
  </si>
  <si>
    <t>ReX 2</t>
  </si>
  <si>
    <t>38207.106.WH1</t>
  </si>
  <si>
    <t>38098.03.BL1</t>
  </si>
  <si>
    <t>DoorProtect</t>
  </si>
  <si>
    <t>38099.03.WH1</t>
  </si>
  <si>
    <t>38100.21.BL1</t>
  </si>
  <si>
    <t>DoorProtect Plus</t>
  </si>
  <si>
    <t>38101.13.WH1</t>
  </si>
  <si>
    <t>38108.05.BL1</t>
  </si>
  <si>
    <t>GlassProtect</t>
  </si>
  <si>
    <t>38109.05.WH1</t>
  </si>
  <si>
    <t>38194.09.BL1</t>
  </si>
  <si>
    <t>MotionProtect</t>
  </si>
  <si>
    <t>38193.09.WH1</t>
  </si>
  <si>
    <t>38199.02.BL1</t>
  </si>
  <si>
    <t>MotionProtect Plus</t>
  </si>
  <si>
    <t>38198.02.WH1</t>
  </si>
  <si>
    <t>38096.06.BL1</t>
  </si>
  <si>
    <t>CombiProtect</t>
  </si>
  <si>
    <t>38097.06.WH1</t>
  </si>
  <si>
    <t>38197.33.WH1</t>
  </si>
  <si>
    <t>MotionProtect Outdoor</t>
  </si>
  <si>
    <t>38192.84.WH1</t>
  </si>
  <si>
    <t>MotionCam Outdoor</t>
  </si>
  <si>
    <t>39293.121.WH1</t>
  </si>
  <si>
    <t>MotionCam Outdoor (PhOD) Jeweller</t>
  </si>
  <si>
    <t>4823114014994</t>
  </si>
  <si>
    <t>38216.60.WH</t>
  </si>
  <si>
    <t>Hood (MPO) ASP</t>
  </si>
  <si>
    <t>4823114040474</t>
  </si>
  <si>
    <t>65855.198.WH</t>
  </si>
  <si>
    <t>Hood for MCO/MCO (PhOD)</t>
  </si>
  <si>
    <t>99164.282.WH1</t>
  </si>
  <si>
    <t>MotionCam Outdoor HighMount (PhOD) Jeweller</t>
  </si>
  <si>
    <t>101441.289.WH1</t>
  </si>
  <si>
    <t>Curtain Outdoor Jeweller</t>
  </si>
  <si>
    <t>39055.81.WH1</t>
  </si>
  <si>
    <t>DualCurtain Outdoor</t>
  </si>
  <si>
    <t>130273.345.WH1</t>
  </si>
  <si>
    <t>Curtain Outdoor Mini Jeweller</t>
  </si>
  <si>
    <t>142717.359.WH1</t>
  </si>
  <si>
    <t>CurtainCam Outdoor HighMount (PhOD) Jeweller</t>
  </si>
  <si>
    <t>38196.36.BL1</t>
  </si>
  <si>
    <t>MotionProtect Curtain</t>
  </si>
  <si>
    <t>38195.36.WH1</t>
  </si>
  <si>
    <t>38191.23.BL1</t>
  </si>
  <si>
    <t>MotionCam</t>
  </si>
  <si>
    <t>38190.23.WH1</t>
  </si>
  <si>
    <t>39289.120.BL1</t>
  </si>
  <si>
    <t>MotionCam (PhOD)</t>
  </si>
  <si>
    <t>39290.120.WH1</t>
  </si>
  <si>
    <t>117743.307.BL1</t>
  </si>
  <si>
    <t>MotionCam HDR</t>
  </si>
  <si>
    <t>117744.307.WH1</t>
  </si>
  <si>
    <t>119281.310.BL1</t>
  </si>
  <si>
    <t>MotionCam HDR (PhOD)</t>
  </si>
  <si>
    <t>119282.310.WH1</t>
  </si>
  <si>
    <t>Controls and panic buttons</t>
  </si>
  <si>
    <t>38248.12.BL1</t>
  </si>
  <si>
    <t>Keypad</t>
  </si>
  <si>
    <t>38249.12.WH1</t>
  </si>
  <si>
    <t>38252.83.BL1</t>
  </si>
  <si>
    <t>Keypad Plus</t>
  </si>
  <si>
    <t>38253.83.WH1</t>
  </si>
  <si>
    <t>58454.148.BL1</t>
  </si>
  <si>
    <t>KeyPad TouchScreen</t>
  </si>
  <si>
    <t>58455.148.WH1</t>
  </si>
  <si>
    <t>99968.286.BL1</t>
  </si>
  <si>
    <t>KeyPad Outdoor Jeweller</t>
  </si>
  <si>
    <t>99967.286.WH1</t>
  </si>
  <si>
    <t>99969.286.GP1</t>
  </si>
  <si>
    <t>38220.89.BL</t>
  </si>
  <si>
    <t>Pass (3pcs)</t>
  </si>
  <si>
    <t>38224.89.WH</t>
  </si>
  <si>
    <t>38218.89.BL</t>
  </si>
  <si>
    <t>Pass (10pcs)</t>
  </si>
  <si>
    <t>38222.89.WH</t>
  </si>
  <si>
    <t>38217.89.BL</t>
  </si>
  <si>
    <t>Pass (100pcs)</t>
  </si>
  <si>
    <t>38221.89.WH</t>
  </si>
  <si>
    <t>38228.90.BL</t>
  </si>
  <si>
    <t>Tag (3pcs)</t>
  </si>
  <si>
    <t>38232.90.WH</t>
  </si>
  <si>
    <t>38226.90.BL</t>
  </si>
  <si>
    <t>Tag (10pcs)</t>
  </si>
  <si>
    <t>38230.90.WH</t>
  </si>
  <si>
    <t>38225.90.BL</t>
  </si>
  <si>
    <t>Tag (100pcs)</t>
  </si>
  <si>
    <t>38229.90.WH</t>
  </si>
  <si>
    <t>38094.26.BL1</t>
  </si>
  <si>
    <t>Button</t>
  </si>
  <si>
    <t>38095.26.WH1</t>
  </si>
  <si>
    <t>38102.79.BL1</t>
  </si>
  <si>
    <t>DoubleButton</t>
  </si>
  <si>
    <t>38103.79.WH1</t>
  </si>
  <si>
    <t>38214.82.BL</t>
  </si>
  <si>
    <t>Holder for Button/DoubleButton</t>
  </si>
  <si>
    <t>38215.82.WH</t>
  </si>
  <si>
    <t>38167.04.BL1</t>
  </si>
  <si>
    <t>SpaceControl</t>
  </si>
  <si>
    <t>38166.04.WH1</t>
  </si>
  <si>
    <t>Voice Modules</t>
  </si>
  <si>
    <t>87531.180.BL1</t>
  </si>
  <si>
    <t>SpeakerPhone Jeweller</t>
  </si>
  <si>
    <t>87530.180.WH1</t>
  </si>
  <si>
    <t>38179.07.BL1</t>
  </si>
  <si>
    <t>StreetSiren</t>
  </si>
  <si>
    <t>38178.07.WH1</t>
  </si>
  <si>
    <t>38110.11.BL1</t>
  </si>
  <si>
    <t>HomeSiren</t>
  </si>
  <si>
    <t>38111.11.WH1</t>
  </si>
  <si>
    <t>38181.61.BL1</t>
  </si>
  <si>
    <t>StreetSiren DoubleDeck</t>
  </si>
  <si>
    <t>38180.61.WH1</t>
  </si>
  <si>
    <t>39278.63.BL</t>
  </si>
  <si>
    <t>Brandplate for StreetSiren DoubleDeck (10pcs)</t>
  </si>
  <si>
    <t>39279.63.WH</t>
  </si>
  <si>
    <t>38187.92.BL1</t>
  </si>
  <si>
    <t>vhfBridge</t>
  </si>
  <si>
    <t>38186.92.WH1</t>
  </si>
  <si>
    <t>38188.92.WH1</t>
  </si>
  <si>
    <t>vhfBridge Lite</t>
  </si>
  <si>
    <t>38184.18.NC1</t>
  </si>
  <si>
    <t>Transmitter</t>
  </si>
  <si>
    <t>38201.62.BL1</t>
  </si>
  <si>
    <t>MultiTransmitter</t>
  </si>
  <si>
    <t>38200.62.WH1</t>
  </si>
  <si>
    <t>38202.14.NC1</t>
  </si>
  <si>
    <t>ocBridge Plus</t>
  </si>
  <si>
    <t>38185.15.NC1</t>
  </si>
  <si>
    <t>uartBridge</t>
  </si>
  <si>
    <t>Power supply units</t>
  </si>
  <si>
    <t>38212.54.NC</t>
  </si>
  <si>
    <t>12V PSU for Hub/Hub Plus/ReX</t>
  </si>
  <si>
    <t>59359.94.NC</t>
  </si>
  <si>
    <t>12-24V PSU for Hub 2 / Hub 2 Plus / ReX 2</t>
  </si>
  <si>
    <t>38213.78.NC</t>
  </si>
  <si>
    <t>6V PSU for Hub 2</t>
  </si>
  <si>
    <t>External antenna</t>
  </si>
  <si>
    <t>104117.290.NC</t>
  </si>
  <si>
    <t>ExternalAntenna</t>
  </si>
  <si>
    <t>Batteries for Hub BP Jeweller</t>
  </si>
  <si>
    <t>121874.313.NC</t>
  </si>
  <si>
    <t>Internal battery NB (7.2V/95Ah)</t>
  </si>
  <si>
    <t>132037.349.NC</t>
  </si>
  <si>
    <t>Internal battery RB (6.4V/36Ah)</t>
  </si>
  <si>
    <t>blue</t>
  </si>
  <si>
    <t>132041.351.NC</t>
  </si>
  <si>
    <t xml:space="preserve">Internal battery NB (7.2V/190Ah) </t>
  </si>
  <si>
    <t>132039.350.NC</t>
  </si>
  <si>
    <t>Internal battery RB (6.4V/78Ah)</t>
  </si>
  <si>
    <t>Wired IP-cameras</t>
  </si>
  <si>
    <t>135569.217.BL1</t>
  </si>
  <si>
    <t>Superior BulletCam HLVF (4 Mp)</t>
  </si>
  <si>
    <t>135570.217.WH1</t>
  </si>
  <si>
    <t>135571.217.BL1</t>
  </si>
  <si>
    <t>Superior BulletCam HLVF (8 Mp)</t>
  </si>
  <si>
    <t>135572.217.WH1</t>
  </si>
  <si>
    <t>135577.214.BL1</t>
  </si>
  <si>
    <t>Superior DomeCam HLVF (4 Mp)</t>
  </si>
  <si>
    <t>135578.214.WH1</t>
  </si>
  <si>
    <t>135579.214.BL1</t>
  </si>
  <si>
    <t>Superior DomeCam HLVF (8 Mp)</t>
  </si>
  <si>
    <t>135580.214.WH1</t>
  </si>
  <si>
    <t>135573.197.BL1</t>
  </si>
  <si>
    <t>Superior TurretCam HLVF (4 Mp)</t>
  </si>
  <si>
    <t>135574.197.WH1</t>
  </si>
  <si>
    <t>135575.197.BL1</t>
  </si>
  <si>
    <t>Superior TurretCam HLVF (8 Mp)</t>
  </si>
  <si>
    <t>135576.197.WH1</t>
  </si>
  <si>
    <t>Network video registrators</t>
  </si>
  <si>
    <t>140918.122.BL1</t>
  </si>
  <si>
    <t>Superior NVR H2DAI2GAC (8-ch)</t>
  </si>
  <si>
    <t>140919.122.WH1</t>
  </si>
  <si>
    <t>140920.122.BL1</t>
  </si>
  <si>
    <t>Superior NVR H2DAI2GAC (16-ch)</t>
  </si>
  <si>
    <t>140921.122.WH1</t>
  </si>
  <si>
    <t>140922.122.BL1</t>
  </si>
  <si>
    <t>Superior NVR H2DAI2GAC (32-ch)</t>
  </si>
  <si>
    <t>140923.122.WH1</t>
  </si>
  <si>
    <t>140924.122.BL1</t>
  </si>
  <si>
    <t>Superior NVR H2DAI8PAC (8-ch)</t>
  </si>
  <si>
    <t>140925.122.WH1</t>
  </si>
  <si>
    <t>140926.122.BL1</t>
  </si>
  <si>
    <t>Superior NVR H2DAI8PAC (16-ch)</t>
  </si>
  <si>
    <t>140927.122.WH1</t>
  </si>
  <si>
    <t>140928.122.BL1</t>
  </si>
  <si>
    <t>Superior NVR H2DAI16PAC (16-ch)</t>
  </si>
  <si>
    <t>140929.122.WH1</t>
  </si>
  <si>
    <t>140930.122.BL1</t>
  </si>
  <si>
    <t>Superior NVR H2DAI16PAC (32-ch)</t>
  </si>
  <si>
    <t>140931.122.WH1</t>
  </si>
  <si>
    <t>Indoor WiFi camera</t>
  </si>
  <si>
    <t>111567.303.BL1</t>
  </si>
  <si>
    <t>IndoorCam</t>
  </si>
  <si>
    <t>111566.303.WH1</t>
  </si>
  <si>
    <t>Video doorbell</t>
  </si>
  <si>
    <t>66391.125.BL1</t>
  </si>
  <si>
    <t>DoorBell</t>
  </si>
  <si>
    <t>66392.125.GP1</t>
  </si>
  <si>
    <t>66393.125.GR1</t>
  </si>
  <si>
    <t>grey</t>
  </si>
  <si>
    <t>66390.125.WH1</t>
  </si>
  <si>
    <t>64924.197.BL1</t>
  </si>
  <si>
    <t xml:space="preserve">TurretCam (5 Mp/2.8 mm) </t>
  </si>
  <si>
    <t>64923.197.WH1</t>
  </si>
  <si>
    <t>64926.197.BL1</t>
  </si>
  <si>
    <t xml:space="preserve">TurretCam (5 Mp/4 mm) </t>
  </si>
  <si>
    <t>64925.197.WH1</t>
  </si>
  <si>
    <t>64928.197.BL1</t>
  </si>
  <si>
    <t xml:space="preserve">TurretCam (8 Mp/2.8 mm) </t>
  </si>
  <si>
    <t>64927.197.WH1</t>
  </si>
  <si>
    <t>64930.197.BL1</t>
  </si>
  <si>
    <t xml:space="preserve">TurretCam (8 Mp/4 mm) </t>
  </si>
  <si>
    <t>64929.197.WH1</t>
  </si>
  <si>
    <t>79024.217.BL1</t>
  </si>
  <si>
    <t xml:space="preserve">BulletCam (5 Mp/2.8 mm) </t>
  </si>
  <si>
    <t>79028.217.WH1</t>
  </si>
  <si>
    <t>79025.217.BL1</t>
  </si>
  <si>
    <t xml:space="preserve">BulletCam (5 Mp/4 mm) </t>
  </si>
  <si>
    <t>79029.217.WH1</t>
  </si>
  <si>
    <t>79026.217.BL1</t>
  </si>
  <si>
    <t xml:space="preserve">BulletCam (8 Mp/2.8 mm) </t>
  </si>
  <si>
    <t>79030.217.WH1</t>
  </si>
  <si>
    <t>79027.217.BL1</t>
  </si>
  <si>
    <t xml:space="preserve">BulletCam (8 Mp/4 mm) </t>
  </si>
  <si>
    <t>79031.217.WH1</t>
  </si>
  <si>
    <t>76019.214.BL1</t>
  </si>
  <si>
    <t xml:space="preserve">DomeCam Mini (5 Mp/2.8 mm) </t>
  </si>
  <si>
    <t>76018.214.WH1</t>
  </si>
  <si>
    <t>76021.214.BL1</t>
  </si>
  <si>
    <t xml:space="preserve">DomeCam Mini (5 Mp/4 mm) </t>
  </si>
  <si>
    <t>76020.214.WH1</t>
  </si>
  <si>
    <t>76023.214.BL1</t>
  </si>
  <si>
    <t xml:space="preserve">DomeCam Mini (8 Mp/2.8 mm) </t>
  </si>
  <si>
    <t>76022.214.WH1</t>
  </si>
  <si>
    <t>76025.214.BL1</t>
  </si>
  <si>
    <t xml:space="preserve">DomeCam Mini (8 Mp/4 mm) </t>
  </si>
  <si>
    <t>76024.214.WH1</t>
  </si>
  <si>
    <t>126260.197.BL1</t>
  </si>
  <si>
    <t xml:space="preserve">TurretCam HL (5 Mp/2.8 mm) </t>
  </si>
  <si>
    <t>126261.197.WH1</t>
  </si>
  <si>
    <t>126262.197.BL1</t>
  </si>
  <si>
    <t xml:space="preserve">TurretCam HL (5 Mp/4 mm) </t>
  </si>
  <si>
    <t>126263.197.WH1</t>
  </si>
  <si>
    <t>126264.197.BL1</t>
  </si>
  <si>
    <t xml:space="preserve">TurretCam HL (8 Mp/2.8 mm) </t>
  </si>
  <si>
    <t>126265.197.WH1</t>
  </si>
  <si>
    <t>126266.197.BL1</t>
  </si>
  <si>
    <t xml:space="preserve">TurretCam HL (8 Mp/4 mm) </t>
  </si>
  <si>
    <t>126267.197.WH1</t>
  </si>
  <si>
    <t>126252.217.BL1</t>
  </si>
  <si>
    <t xml:space="preserve">BulletCam HL (5 Mp/2.8 mm) </t>
  </si>
  <si>
    <t>126253.217.WH1</t>
  </si>
  <si>
    <t>126254.217.BL1</t>
  </si>
  <si>
    <t xml:space="preserve">BulletCam HL (5 Mp/4 mm) </t>
  </si>
  <si>
    <t>126255.217.WH1</t>
  </si>
  <si>
    <t>126256.217.BL1</t>
  </si>
  <si>
    <t xml:space="preserve">BulletCam HL (8 Mp/2.8 mm) </t>
  </si>
  <si>
    <t>126257.217.WH1</t>
  </si>
  <si>
    <t>126258.217.BL1</t>
  </si>
  <si>
    <t xml:space="preserve">BulletCam HL (8 Mp/4 mm) </t>
  </si>
  <si>
    <t>126259.217.WH1</t>
  </si>
  <si>
    <t>126268.214.BL1</t>
  </si>
  <si>
    <t xml:space="preserve">DomeCam Mini HL (5 Mp/2.8 mm) </t>
  </si>
  <si>
    <t>126269.214.WH1</t>
  </si>
  <si>
    <t xml:space="preserve">DomeCam Mini HL (5 Mp/2.8 mm)  </t>
  </si>
  <si>
    <t>126270.214.BL1</t>
  </si>
  <si>
    <t xml:space="preserve">DomeCam Mini HL (5 Mp/4 mm) </t>
  </si>
  <si>
    <t>126271.214.WH1</t>
  </si>
  <si>
    <t>126272.214.BL1</t>
  </si>
  <si>
    <t xml:space="preserve">DomeCam Mini HL (8 Mp/2.8 mm) </t>
  </si>
  <si>
    <t>126273.214.WH1</t>
  </si>
  <si>
    <t>126274.214.BL1</t>
  </si>
  <si>
    <t xml:space="preserve">DomeCam Mini HL (8 Mp/4 mm) </t>
  </si>
  <si>
    <t>126275.214.WH1</t>
  </si>
  <si>
    <t>126276.217.BL1</t>
  </si>
  <si>
    <t>BulletCam HLVF (5 Mp)</t>
  </si>
  <si>
    <t>126277.217.WH1</t>
  </si>
  <si>
    <t>126278.217.BL1</t>
  </si>
  <si>
    <t>BulletCam HLVF (8 Mp)</t>
  </si>
  <si>
    <t>126279.217.WH1</t>
  </si>
  <si>
    <t>126284.214.BL1</t>
  </si>
  <si>
    <t>DomeCam HLVF (5 Mp)</t>
  </si>
  <si>
    <t>126285.214.WH1</t>
  </si>
  <si>
    <t>126286.214.BL1</t>
  </si>
  <si>
    <t>DomeCam HLVF (8 Mp)</t>
  </si>
  <si>
    <t>126287.214.WH1</t>
  </si>
  <si>
    <t>126280.197.BL1</t>
  </si>
  <si>
    <t>TurretCam HLVF (5 Mp)</t>
  </si>
  <si>
    <t>126281.197.WH1</t>
  </si>
  <si>
    <t>126282.197.BL1</t>
  </si>
  <si>
    <t>TurretCam HLVF (8 Mp)</t>
  </si>
  <si>
    <t>126283.197.WH1</t>
  </si>
  <si>
    <t>Mounting box for security IP cameras</t>
  </si>
  <si>
    <t>88882.234.BL</t>
  </si>
  <si>
    <t>JunctionBox (118x59)</t>
  </si>
  <si>
    <t>88881.234.WH</t>
  </si>
  <si>
    <t>Wall mounts for security IP cameras</t>
  </si>
  <si>
    <t>168235.370.BL</t>
  </si>
  <si>
    <t>MountCam A1</t>
  </si>
  <si>
    <t>168234.370.WH</t>
  </si>
  <si>
    <t>168237.371.BL</t>
  </si>
  <si>
    <t>MountCam A2</t>
  </si>
  <si>
    <t>168236.371.WH</t>
  </si>
  <si>
    <t>168239.372.BL</t>
  </si>
  <si>
    <t>MountCam B1</t>
  </si>
  <si>
    <t>168238.372.WH</t>
  </si>
  <si>
    <t>168241.373.BL</t>
  </si>
  <si>
    <t>MountCam B2</t>
  </si>
  <si>
    <t>168240.373.WH</t>
  </si>
  <si>
    <t>70938.122.BL</t>
  </si>
  <si>
    <t>NVR 8-ch</t>
  </si>
  <si>
    <t>70936.122.WH</t>
  </si>
  <si>
    <t>70935.122.BL</t>
  </si>
  <si>
    <t>NVR 16-ch</t>
  </si>
  <si>
    <t>70934.122.WH</t>
  </si>
  <si>
    <t>127051.122.BL</t>
  </si>
  <si>
    <t>NVR DC 8-ch</t>
  </si>
  <si>
    <t>127052.122.WH</t>
  </si>
  <si>
    <t>127057.122.BL</t>
  </si>
  <si>
    <t>NVR DC 16-ch</t>
  </si>
  <si>
    <t>127058.122.WH</t>
  </si>
  <si>
    <t>134499.122.BL1</t>
  </si>
  <si>
    <t>NVR HAC (8ch)</t>
  </si>
  <si>
    <t>134500.122.WH1</t>
  </si>
  <si>
    <t>134505.122.BL1</t>
  </si>
  <si>
    <t>NVR HAC (16ch)</t>
  </si>
  <si>
    <t>134506.122.WH1</t>
  </si>
  <si>
    <t>140349.122.BL1</t>
  </si>
  <si>
    <t>NVR HDC (8ch)</t>
  </si>
  <si>
    <t>140350.122.WH1</t>
  </si>
  <si>
    <t>140351.122.BL1</t>
  </si>
  <si>
    <t>NVR HDC (16ch)</t>
  </si>
  <si>
    <t>140352.122.WH1</t>
  </si>
  <si>
    <t>140908.122.BL1</t>
  </si>
  <si>
    <t>NVR H2DAC (8-ch)</t>
  </si>
  <si>
    <t>140909.122.WH1</t>
  </si>
  <si>
    <t>140910.122.BL1</t>
  </si>
  <si>
    <t>NVR H2DAC (16-ch)</t>
  </si>
  <si>
    <t>140911.122.WH1</t>
  </si>
  <si>
    <t>140912.122.BL1</t>
  </si>
  <si>
    <t>NVR H2D8PAC (8-ch)</t>
  </si>
  <si>
    <t>140913.122.WH1</t>
  </si>
  <si>
    <t>140914.122.BL1</t>
  </si>
  <si>
    <t>NVR H2D8PAC (16-ch)</t>
  </si>
  <si>
    <t>140915.122.WH1</t>
  </si>
  <si>
    <t>140916.122.BL1</t>
  </si>
  <si>
    <t>NVR H2D16PAC (16-ch)</t>
  </si>
  <si>
    <t>140917.122.WH1</t>
  </si>
  <si>
    <t>Power supply units for NVRs</t>
  </si>
  <si>
    <t>112255.305.NC</t>
  </si>
  <si>
    <t>12V PSU for NVR</t>
  </si>
  <si>
    <t>Fire detectors</t>
  </si>
  <si>
    <t>38104.10.BL1</t>
  </si>
  <si>
    <t>FireProtect</t>
  </si>
  <si>
    <t>38105.10.WH1</t>
  </si>
  <si>
    <t>38106.16.BL1</t>
  </si>
  <si>
    <t>FireProtect Plus (with CO)</t>
  </si>
  <si>
    <t>38107.16.WH1</t>
  </si>
  <si>
    <t>52251.136.BL1</t>
  </si>
  <si>
    <t>FireProtect 2 RB (Heat/Smoke)</t>
  </si>
  <si>
    <t>52250.136.WH1</t>
  </si>
  <si>
    <t>52253.137.BL1</t>
  </si>
  <si>
    <t>FireProtect 2 RB (Heat/Smoke/CO)</t>
  </si>
  <si>
    <t>52252.137.WH1</t>
  </si>
  <si>
    <t>52255.149.BL1</t>
  </si>
  <si>
    <t>FireProtect 2 SB (Heat/Smoke)</t>
  </si>
  <si>
    <t>52254.149.WH1</t>
  </si>
  <si>
    <t>52257.150.BL1</t>
  </si>
  <si>
    <t>FireProtect 2 SB (Heat/Smoke/CO)</t>
  </si>
  <si>
    <t>52256.150.WH1</t>
  </si>
  <si>
    <t>63211.167.BL1</t>
  </si>
  <si>
    <t>FireProtect 2 RB (Heat/CO)</t>
  </si>
  <si>
    <t>63210.167.WH1</t>
  </si>
  <si>
    <t>63209.168.BL1</t>
  </si>
  <si>
    <t>FireProtect 2 RB (Heat)</t>
  </si>
  <si>
    <t>63208.168.WH1</t>
  </si>
  <si>
    <t>63213.166.BL1</t>
  </si>
  <si>
    <t>FireProtect 2 RB (CO)</t>
  </si>
  <si>
    <t>63212.166.WH1</t>
  </si>
  <si>
    <t>63217.136.BL1</t>
  </si>
  <si>
    <t>FireProtect 2 SB (Heat/CO)</t>
  </si>
  <si>
    <t>63216.136.WH1</t>
  </si>
  <si>
    <t>63215.136.BL1</t>
  </si>
  <si>
    <t>FireProtect 2 SB (Heat)</t>
  </si>
  <si>
    <t>63214.136.WH1</t>
  </si>
  <si>
    <t>63219.136.BL1</t>
  </si>
  <si>
    <t>FireProtect 2 SB (CO)</t>
  </si>
  <si>
    <t>63218.136.WH1</t>
  </si>
  <si>
    <t>60827.172.BL1</t>
  </si>
  <si>
    <t>Ajax FireProtect 2 AC (CO)</t>
  </si>
  <si>
    <t>60826.172.WH1</t>
  </si>
  <si>
    <t>60829.173.BL1</t>
  </si>
  <si>
    <t>Ajax FireProtect 2 AC (Heat)</t>
  </si>
  <si>
    <t>60828.173.WH1</t>
  </si>
  <si>
    <t>60831.174.BL1</t>
  </si>
  <si>
    <t>Ajax FireProtect 2 AC (Heat/CO)</t>
  </si>
  <si>
    <t>60830.174.WH1</t>
  </si>
  <si>
    <t>60833.175.BL1</t>
  </si>
  <si>
    <t>Ajax FireProtect 2 AC (Heat/Smoke)</t>
  </si>
  <si>
    <t>60832.175.WH1</t>
  </si>
  <si>
    <t>60835.176.BL1</t>
  </si>
  <si>
    <t>Ajax FireProtect 2 AC (Heat/Smoke/CO)</t>
  </si>
  <si>
    <t>60834.176.WH1</t>
  </si>
  <si>
    <t>68696.136.BL3</t>
  </si>
  <si>
    <t>FireProtect 2 RB (Heat/Smoke/CO) UL</t>
  </si>
  <si>
    <t>68695.136.WH3</t>
  </si>
  <si>
    <t>68698.137.BL3</t>
  </si>
  <si>
    <t>FireProtect 2 RB (Heat/Smoke) UL</t>
  </si>
  <si>
    <t>68697.137.WH3</t>
  </si>
  <si>
    <t>93359.262.BL</t>
  </si>
  <si>
    <t>CableTrunk</t>
  </si>
  <si>
    <t>93360.262.WH</t>
  </si>
  <si>
    <t xml:space="preserve">Manual Call Points                                                      </t>
  </si>
  <si>
    <t>60815.171.NC1</t>
  </si>
  <si>
    <t>Manual Call Point</t>
  </si>
  <si>
    <t>red</t>
  </si>
  <si>
    <t>4823114050060</t>
  </si>
  <si>
    <t>83805.171.NC1</t>
  </si>
  <si>
    <t>87639.171.NC1</t>
  </si>
  <si>
    <t>green</t>
  </si>
  <si>
    <t>87651.171.NC1</t>
  </si>
  <si>
    <t>yellow</t>
  </si>
  <si>
    <t>87645.171.NC1</t>
  </si>
  <si>
    <t>4823114056215</t>
  </si>
  <si>
    <t>94033.264.BL</t>
  </si>
  <si>
    <t>Key for MCP (10 pcs) black</t>
  </si>
  <si>
    <t>CIE</t>
  </si>
  <si>
    <t>125733.315.BL</t>
  </si>
  <si>
    <t>EN54 Fire Hub Jeweller</t>
  </si>
  <si>
    <t>125732.315.WH</t>
  </si>
  <si>
    <t>135976.358.BL1</t>
  </si>
  <si>
    <t>EN54 Fire ReX Jeweller</t>
  </si>
  <si>
    <t>135975.358.WH1</t>
  </si>
  <si>
    <t>127877.316.BL</t>
  </si>
  <si>
    <t xml:space="preserve">EN54 Internal Battery (24h) </t>
  </si>
  <si>
    <t>127876.316.WH</t>
  </si>
  <si>
    <t>127879.324.BL</t>
  </si>
  <si>
    <t xml:space="preserve">EN54 Internal Battery (72h) </t>
  </si>
  <si>
    <t>127878.324.WH</t>
  </si>
  <si>
    <t>125718.314.BL</t>
  </si>
  <si>
    <t>GlandBox</t>
  </si>
  <si>
    <t>125717.314.WH</t>
  </si>
  <si>
    <t>119922.275.BL1</t>
  </si>
  <si>
    <t>EN54 FireProtect (Smoke)</t>
  </si>
  <si>
    <t>119921.275.WH1</t>
  </si>
  <si>
    <t>119920.276.BL1</t>
  </si>
  <si>
    <t xml:space="preserve">EN54 FireProtect (Smoke/Sounder) </t>
  </si>
  <si>
    <t>119919.276.WH1</t>
  </si>
  <si>
    <t>119918.273.BL1</t>
  </si>
  <si>
    <t xml:space="preserve">EN54 FireProtect (Heat) </t>
  </si>
  <si>
    <t>119917.273.WH1</t>
  </si>
  <si>
    <t>EN54 FireProtect (Heat)</t>
  </si>
  <si>
    <t>119916.274.BL1</t>
  </si>
  <si>
    <t xml:space="preserve">EN54 FireProtect (Heat/Sounder) </t>
  </si>
  <si>
    <t>119915.274.WH1</t>
  </si>
  <si>
    <t>EN54 FireProtect (Heat/Sounder)</t>
  </si>
  <si>
    <t>155888.379.BL1</t>
  </si>
  <si>
    <t>Ajax EN54 FireProtect (Heat/Smoke)</t>
  </si>
  <si>
    <t>155887.379.WH1</t>
  </si>
  <si>
    <t>External indicator</t>
  </si>
  <si>
    <t>155912.378.BL1</t>
  </si>
  <si>
    <t>Ajax EN54 Indicator Jeweller</t>
  </si>
  <si>
    <t>155911.378.WH1</t>
  </si>
  <si>
    <t>Audible and visual alarm devices</t>
  </si>
  <si>
    <t>118606.277.BL1</t>
  </si>
  <si>
    <t xml:space="preserve">EN54 FireProtect (VAD) </t>
  </si>
  <si>
    <t>118605.277.WH1</t>
  </si>
  <si>
    <t>118607.277.RD1</t>
  </si>
  <si>
    <t>118600.279.BL1</t>
  </si>
  <si>
    <t>EN54 FireProtect (Sounder/VAD)</t>
  </si>
  <si>
    <t>118599.279.WH1</t>
  </si>
  <si>
    <t xml:space="preserve">EN54 FireProtect (Sounder/VAD) </t>
  </si>
  <si>
    <t>118601.279.RD1</t>
  </si>
  <si>
    <t>118603.278.BL1</t>
  </si>
  <si>
    <t xml:space="preserve">EN54 FireProtect (Sounder) </t>
  </si>
  <si>
    <t>118602.278.WH1</t>
  </si>
  <si>
    <t>EN54 FireProtect (Sounder)</t>
  </si>
  <si>
    <t>118604.278.RD1</t>
  </si>
  <si>
    <t>124591.280.BL1</t>
  </si>
  <si>
    <t xml:space="preserve">EN54 I/O Module (2X2) </t>
  </si>
  <si>
    <t>124590.280.WH1</t>
  </si>
  <si>
    <t xml:space="preserve">Manual call points                                                      </t>
  </si>
  <si>
    <t>Installer - Installers with the appropriate qualifications – including: proven training by an authorized Ajax dealer specifically for the EN54 system, or certification in the field of fire protection by institutions such as BHE, VdS, or comparable recognized bodies may be eligible for a suggested discount of up to 50% off the standard list price, reflecting typically reduced need for technical product support and assistance associated with such installations.</t>
  </si>
  <si>
    <t>Installer TIER 2 - Installers without documented training in fire protection may be eligible for a suggested discount of up to 30% off the standard list price, reflecting typically higher need for technical product support and assistance associated with such installations.</t>
  </si>
  <si>
    <t>Water leak detectors</t>
  </si>
  <si>
    <t>38254.08.BL1</t>
  </si>
  <si>
    <t>LeaksProtect</t>
  </si>
  <si>
    <t>38255.08.WH1</t>
  </si>
  <si>
    <t>Electric valves</t>
  </si>
  <si>
    <t>52270.146.BL1</t>
  </si>
  <si>
    <t>WaterStop [1/2]</t>
  </si>
  <si>
    <t>52271.146.WH1</t>
  </si>
  <si>
    <t>52266.154.BL1</t>
  </si>
  <si>
    <t>WaterStop [1]</t>
  </si>
  <si>
    <t>52267.154.WH1</t>
  </si>
  <si>
    <t>52268.155.BL1</t>
  </si>
  <si>
    <t>WaterStop [3/4]</t>
  </si>
  <si>
    <t>52269.155.WH1</t>
  </si>
  <si>
    <t>Automation</t>
  </si>
  <si>
    <t>38189.13.BL1</t>
  </si>
  <si>
    <t>WallSwitch</t>
  </si>
  <si>
    <t>38204.19.NC1</t>
  </si>
  <si>
    <t>Relay</t>
  </si>
  <si>
    <t>51170.132.BL</t>
  </si>
  <si>
    <t>DIN Holder</t>
  </si>
  <si>
    <t>Air quality detectors</t>
  </si>
  <si>
    <t>52272.135.BL1</t>
  </si>
  <si>
    <t>LifeQuality</t>
  </si>
  <si>
    <t>52273.135.WH1</t>
  </si>
  <si>
    <t>Smart plugs</t>
  </si>
  <si>
    <t>38210.34.BL1</t>
  </si>
  <si>
    <t>Socket</t>
  </si>
  <si>
    <t>38209.34.WH1</t>
  </si>
  <si>
    <t>Smart switches</t>
  </si>
  <si>
    <t>Two types are avaiable: single and combined. A single light switch contains LightCore and SoloButton. Combined light switch contains from 2 to 5 LightCore, corresponding number of buttons, and one Frame</t>
  </si>
  <si>
    <t>52136.142.NC</t>
  </si>
  <si>
    <t>LightCore (1-gang)</t>
  </si>
  <si>
    <t>52137.142.NC</t>
  </si>
  <si>
    <t>LightCore (2-gang)</t>
  </si>
  <si>
    <t>52138.142.NC</t>
  </si>
  <si>
    <t>LightCore (2-way)</t>
  </si>
  <si>
    <t>87944.142.NC</t>
  </si>
  <si>
    <t>LightCore (2-gang/2-way)</t>
  </si>
  <si>
    <t>87795.142.NC</t>
  </si>
  <si>
    <t>LightCore (Crossover)</t>
  </si>
  <si>
    <t>91248.255.WH1</t>
  </si>
  <si>
    <t>LightCore (Dimmer)</t>
  </si>
  <si>
    <t>Frames</t>
  </si>
  <si>
    <t>Applicable both for smart light switches and outlets</t>
  </si>
  <si>
    <t>52188.141.NC</t>
  </si>
  <si>
    <t>Frame (2 seats)</t>
  </si>
  <si>
    <t>52189.141.NC</t>
  </si>
  <si>
    <t>Frame (3 seats)</t>
  </si>
  <si>
    <t>52190.141.NC</t>
  </si>
  <si>
    <t>Frame (4 seats)</t>
  </si>
  <si>
    <t>52348.141.NC</t>
  </si>
  <si>
    <t>Frame (5 seats)</t>
  </si>
  <si>
    <t>The following items can be ordered in multiple colors</t>
  </si>
  <si>
    <t>52171.140.BL</t>
  </si>
  <si>
    <t>CenterButton (1-gang)</t>
  </si>
  <si>
    <t>52173.140.FG</t>
  </si>
  <si>
    <t>fog</t>
  </si>
  <si>
    <t>52174.140.GP</t>
  </si>
  <si>
    <t>52175.140.GR</t>
  </si>
  <si>
    <t>52176.140.IV</t>
  </si>
  <si>
    <t>ivory</t>
  </si>
  <si>
    <t>52177.140.OL</t>
  </si>
  <si>
    <t>olive</t>
  </si>
  <si>
    <t>52178.140.OY</t>
  </si>
  <si>
    <t>oyster</t>
  </si>
  <si>
    <t>52179.140.WH</t>
  </si>
  <si>
    <t>52180.140.BL</t>
  </si>
  <si>
    <t>CenterButton (2-gang)</t>
  </si>
  <si>
    <t>52181.140.FG</t>
  </si>
  <si>
    <t>52182.140.GP</t>
  </si>
  <si>
    <t>52183.140.GR</t>
  </si>
  <si>
    <t>52184.140.IV</t>
  </si>
  <si>
    <t>52185.140.OL</t>
  </si>
  <si>
    <t>52186.140.OY</t>
  </si>
  <si>
    <t>52187.140.WH</t>
  </si>
  <si>
    <t>52155.143.BL</t>
  </si>
  <si>
    <t>SideButton (1-gang)</t>
  </si>
  <si>
    <t>52156.143.FG</t>
  </si>
  <si>
    <t>52157.143.GP</t>
  </si>
  <si>
    <t>52158.143.GR</t>
  </si>
  <si>
    <t>52159.143.IV</t>
  </si>
  <si>
    <t>52160.143.OL</t>
  </si>
  <si>
    <t>52161.143.OY</t>
  </si>
  <si>
    <t>52162.143.WH</t>
  </si>
  <si>
    <t>52163.143.BL</t>
  </si>
  <si>
    <t>SideButton (2-gang)</t>
  </si>
  <si>
    <t>52164.143.FG</t>
  </si>
  <si>
    <t>52165.143.GP</t>
  </si>
  <si>
    <t>52166.143.GR</t>
  </si>
  <si>
    <t>52167.143.IV</t>
  </si>
  <si>
    <t>52168.143.OL</t>
  </si>
  <si>
    <t>52169.143.OY</t>
  </si>
  <si>
    <t>52170.143.WH</t>
  </si>
  <si>
    <t>52139.144.BL</t>
  </si>
  <si>
    <t>SoloButton (1-gang)</t>
  </si>
  <si>
    <t>52140.144.FG</t>
  </si>
  <si>
    <t>52141.144.GP</t>
  </si>
  <si>
    <t>52142.144.GR</t>
  </si>
  <si>
    <t>52143.144.IV</t>
  </si>
  <si>
    <t>52144.144.OL</t>
  </si>
  <si>
    <t>52145.144.OY</t>
  </si>
  <si>
    <t>52146.144.WH</t>
  </si>
  <si>
    <t>52147.144.BL</t>
  </si>
  <si>
    <t>SoloButton (2-gang)</t>
  </si>
  <si>
    <t>52148.144.FG</t>
  </si>
  <si>
    <t>52149.144.GP</t>
  </si>
  <si>
    <t>52150.144.GR</t>
  </si>
  <si>
    <t>52151.144.IV</t>
  </si>
  <si>
    <t>52152.144.OL</t>
  </si>
  <si>
    <t>52153.144.OY</t>
  </si>
  <si>
    <t>52154.144.WH</t>
  </si>
  <si>
    <t>Dimmer buttons</t>
  </si>
  <si>
    <t>98607.257.BL1</t>
  </si>
  <si>
    <t>Ajax SoloButton (Dimmer)</t>
  </si>
  <si>
    <t>91254.257.WH1</t>
  </si>
  <si>
    <t>98613.257.OY1</t>
  </si>
  <si>
    <t>98612.257.OL1</t>
  </si>
  <si>
    <t>98611.257.IV1</t>
  </si>
  <si>
    <t>98610.257.GR1</t>
  </si>
  <si>
    <t>98609.257.GP1</t>
  </si>
  <si>
    <t>98608.257.FG1</t>
  </si>
  <si>
    <t>98585.256.BL1</t>
  </si>
  <si>
    <t>Ajax CenterButton (Dimmer)</t>
  </si>
  <si>
    <t>91250.256.WH1</t>
  </si>
  <si>
    <t>98591.256.OY1</t>
  </si>
  <si>
    <t>98590.256.OL1</t>
  </si>
  <si>
    <t>98589.256.IV1</t>
  </si>
  <si>
    <t>98588.256.GR1</t>
  </si>
  <si>
    <t>98587.256.GP1</t>
  </si>
  <si>
    <t>98586.256.FG1</t>
  </si>
  <si>
    <t>98578.254.BL1</t>
  </si>
  <si>
    <t>Ajax SideButton (Dimmer)</t>
  </si>
  <si>
    <t>91252.254.WH1</t>
  </si>
  <si>
    <t>98584.254.OY1</t>
  </si>
  <si>
    <t>98583.254.OL1</t>
  </si>
  <si>
    <t>98582.254.IV1</t>
  </si>
  <si>
    <t>98581.254.GR1</t>
  </si>
  <si>
    <t>98580.254.GP1</t>
  </si>
  <si>
    <t>98579.254.FG1</t>
  </si>
  <si>
    <t>Outlets Type F</t>
  </si>
  <si>
    <t>There are two installation options for outlets: solo and side-by-side. 
For solo installation you need only OutletCore and SoloCover.
For side-by-side installation of two or more devices, you will need OutletCore, colored covers (SideCover, CenterCover) and Frame.
Vertical installation is supported only by cores and frames with the label “vertical” in the name. SideCover and СenterCover (basic) can be used both for horizontal and vertical combinations of devices.</t>
  </si>
  <si>
    <t>72569.165.WH1</t>
  </si>
  <si>
    <t>OutletCore (smart) [type F]</t>
  </si>
  <si>
    <t>102913.165.NC</t>
  </si>
  <si>
    <t>OutletCore (basic) [type F]</t>
  </si>
  <si>
    <t>102915.165.NC</t>
  </si>
  <si>
    <t>OutletCore (basic) vertical [type F]</t>
  </si>
  <si>
    <t>128846.165.BL</t>
  </si>
  <si>
    <t xml:space="preserve">Ajax OutletCore (LAN) </t>
  </si>
  <si>
    <t>126185.165.WH</t>
  </si>
  <si>
    <t>128848.165.BL</t>
  </si>
  <si>
    <t xml:space="preserve">Ajax OutletCore (LAN) vertical </t>
  </si>
  <si>
    <t>126186.165.WH</t>
  </si>
  <si>
    <t>52805.164.BL</t>
  </si>
  <si>
    <t>SoloCover (smart) [type F]</t>
  </si>
  <si>
    <t>60030.164.FG</t>
  </si>
  <si>
    <t>60029.164.GP</t>
  </si>
  <si>
    <t>60028.164.GR</t>
  </si>
  <si>
    <t>60027.164.IV</t>
  </si>
  <si>
    <t>60026.164.OL</t>
  </si>
  <si>
    <t>60025.164.OY</t>
  </si>
  <si>
    <t>72572.164.WH</t>
  </si>
  <si>
    <t>52807.163.BL</t>
  </si>
  <si>
    <t>SideCover (smart) [type F]</t>
  </si>
  <si>
    <t>60002.163.FG</t>
  </si>
  <si>
    <t>60001.163.GP</t>
  </si>
  <si>
    <t>60000.163.GR</t>
  </si>
  <si>
    <t>59999.163.IV</t>
  </si>
  <si>
    <t>59998.163.OL</t>
  </si>
  <si>
    <t>59997.163.OY</t>
  </si>
  <si>
    <t>72574.163.WH</t>
  </si>
  <si>
    <t>52810.162.BL</t>
  </si>
  <si>
    <t>CenterCover (smart) [type F]</t>
  </si>
  <si>
    <t>59974.162.FG</t>
  </si>
  <si>
    <t>59973.162.GP</t>
  </si>
  <si>
    <t>59972.162.GR</t>
  </si>
  <si>
    <t>59971.162.IV</t>
  </si>
  <si>
    <t>59970.162.OL</t>
  </si>
  <si>
    <t>59969.162.OY</t>
  </si>
  <si>
    <t>72576.162.WH</t>
  </si>
  <si>
    <t>89056.164.BL</t>
  </si>
  <si>
    <t>SoloCover (basic) [type F]</t>
  </si>
  <si>
    <t>89057.164.FG</t>
  </si>
  <si>
    <t>89058.164.GP</t>
  </si>
  <si>
    <t>89059.164.GR</t>
  </si>
  <si>
    <t>89060.164.IV</t>
  </si>
  <si>
    <t>89061.164.OL</t>
  </si>
  <si>
    <t>89062.164.OY</t>
  </si>
  <si>
    <t>89055.164.WH</t>
  </si>
  <si>
    <t>89072.163.BL</t>
  </si>
  <si>
    <t>SideCover (basic) [type F]</t>
  </si>
  <si>
    <t>89073.163.FG</t>
  </si>
  <si>
    <t>89074.163.GP</t>
  </si>
  <si>
    <t>89075.163.GR</t>
  </si>
  <si>
    <t>89076.163.IV</t>
  </si>
  <si>
    <t>89077.163.OL</t>
  </si>
  <si>
    <t>89078.163.OY</t>
  </si>
  <si>
    <t>89071.163.WH</t>
  </si>
  <si>
    <t>89088.162.BL</t>
  </si>
  <si>
    <t>CenterCover (basic) [type F]</t>
  </si>
  <si>
    <t>89089.162.FG</t>
  </si>
  <si>
    <t>89090.162.GP</t>
  </si>
  <si>
    <t>89091.162.GR</t>
  </si>
  <si>
    <t>89092.162.IV</t>
  </si>
  <si>
    <t>89093.162.OL</t>
  </si>
  <si>
    <t>89094.162.OY</t>
  </si>
  <si>
    <t>89087.162.WH</t>
  </si>
  <si>
    <t>126188.317.BL</t>
  </si>
  <si>
    <t>SoloCover (LAN)</t>
  </si>
  <si>
    <t>126187.317.WH</t>
  </si>
  <si>
    <t>126189.317.IV</t>
  </si>
  <si>
    <t>126190.317.GR</t>
  </si>
  <si>
    <t>126191.317.GP</t>
  </si>
  <si>
    <t>126192.317.FG</t>
  </si>
  <si>
    <t>126193.317.OY</t>
  </si>
  <si>
    <t>126194.317.OL</t>
  </si>
  <si>
    <t>126196.318.BL</t>
  </si>
  <si>
    <t>CenterCover (LAN)</t>
  </si>
  <si>
    <t>126195.318.WH</t>
  </si>
  <si>
    <t>126197.318.IV</t>
  </si>
  <si>
    <t>126198.318.GR</t>
  </si>
  <si>
    <t>126199.318.GP</t>
  </si>
  <si>
    <t>126200.318.FG</t>
  </si>
  <si>
    <t>126201.318.OY</t>
  </si>
  <si>
    <t>126202.318.OL</t>
  </si>
  <si>
    <t>126204.318.BL</t>
  </si>
  <si>
    <t>CenterCover (LAN) vertical</t>
  </si>
  <si>
    <t>126203.318.WH</t>
  </si>
  <si>
    <t>126205.318.IV</t>
  </si>
  <si>
    <t>126206.318.GR</t>
  </si>
  <si>
    <t>126207.318.GP</t>
  </si>
  <si>
    <t>126208.318.FG</t>
  </si>
  <si>
    <t>126209.318.OY</t>
  </si>
  <si>
    <t>126210.318.OL</t>
  </si>
  <si>
    <t>126212.319.BL</t>
  </si>
  <si>
    <t>SideCover (LAN)</t>
  </si>
  <si>
    <t>126211.319.WH</t>
  </si>
  <si>
    <t>126213.319.IV</t>
  </si>
  <si>
    <t>126214.319.GR</t>
  </si>
  <si>
    <t>126215.319.GP</t>
  </si>
  <si>
    <t>126216.319.FG</t>
  </si>
  <si>
    <t>126217.319.OY</t>
  </si>
  <si>
    <t>126218.319.OL</t>
  </si>
  <si>
    <t>126220.319.BL</t>
  </si>
  <si>
    <t>SideCover (LAN) vertical</t>
  </si>
  <si>
    <t>126219.319.WH</t>
  </si>
  <si>
    <t>126221.319.IV</t>
  </si>
  <si>
    <t>126222.319.GR</t>
  </si>
  <si>
    <t>126223.319.GP</t>
  </si>
  <si>
    <t>126224.319.FG</t>
  </si>
  <si>
    <t>126225.319.OY</t>
  </si>
  <si>
    <t>126226.319.OL</t>
  </si>
  <si>
    <t>Vertical devices</t>
  </si>
  <si>
    <t>83427.142.NC</t>
  </si>
  <si>
    <t>LightCore (1-gang) vertical</t>
  </si>
  <si>
    <t>83428.142.NC</t>
  </si>
  <si>
    <t>LightCore (2-gang) vertical</t>
  </si>
  <si>
    <t>83429.142.NC</t>
  </si>
  <si>
    <t>LightCore (2-way) vertical</t>
  </si>
  <si>
    <t>87945.142.NC</t>
  </si>
  <si>
    <t>LightCore (2-gang/2-way) vertical</t>
  </si>
  <si>
    <t>87796.142.NC</t>
  </si>
  <si>
    <t>LightCore (Crossover) vertical</t>
  </si>
  <si>
    <t>91249.255.WH1</t>
  </si>
  <si>
    <t>LightCore (Dimmer) vertical</t>
  </si>
  <si>
    <t>83430.141.NC</t>
  </si>
  <si>
    <t>Frame (2 seats) vertical</t>
  </si>
  <si>
    <t>83431.141.NC</t>
  </si>
  <si>
    <t>Frame (3 seats) vertical</t>
  </si>
  <si>
    <t>83432.141.NC</t>
  </si>
  <si>
    <t>Frame (4 seats) vertical</t>
  </si>
  <si>
    <t>83433.141.NC</t>
  </si>
  <si>
    <t>Frame (5 seats) vertical</t>
  </si>
  <si>
    <t>83459.140.BL</t>
  </si>
  <si>
    <t>CenterButton (1-gang) vertical</t>
  </si>
  <si>
    <t>83460.140.FG</t>
  </si>
  <si>
    <t>83461.140.GP</t>
  </si>
  <si>
    <t>83462.140.GR</t>
  </si>
  <si>
    <t>83463.140.IV</t>
  </si>
  <si>
    <t>83464.140.OL</t>
  </si>
  <si>
    <t>83465.140.OY</t>
  </si>
  <si>
    <t>83458.140.WH</t>
  </si>
  <si>
    <t>83451.143.BL</t>
  </si>
  <si>
    <t>SideButton (1-gang) vertical</t>
  </si>
  <si>
    <t>83452.143.FG</t>
  </si>
  <si>
    <t>83453.143.GP</t>
  </si>
  <si>
    <t>83454.143.GR</t>
  </si>
  <si>
    <t>83455.143.IV</t>
  </si>
  <si>
    <t>83456.143.OL</t>
  </si>
  <si>
    <t>83457.143.OY</t>
  </si>
  <si>
    <t>83450.143.WH</t>
  </si>
  <si>
    <t>83443.140.BL</t>
  </si>
  <si>
    <t>CenterButton (2-gang) vertical</t>
  </si>
  <si>
    <t>83444.140.FG</t>
  </si>
  <si>
    <t>83445.140.GP</t>
  </si>
  <si>
    <t>83446.140.GR</t>
  </si>
  <si>
    <t>83447.140.IV</t>
  </si>
  <si>
    <t>83448.140.OL</t>
  </si>
  <si>
    <t>83449.140.OY</t>
  </si>
  <si>
    <t>83442.140.WH</t>
  </si>
  <si>
    <t>83435.143.BL</t>
  </si>
  <si>
    <t>SideButton (2-gang) vertical</t>
  </si>
  <si>
    <t>83436.143.FG</t>
  </si>
  <si>
    <t>83437.143.GP</t>
  </si>
  <si>
    <t>83438.143.GR</t>
  </si>
  <si>
    <t>83439.143.IV</t>
  </si>
  <si>
    <t>83440.143.OL</t>
  </si>
  <si>
    <t>83441.143.OY</t>
  </si>
  <si>
    <t>83434.143.WH</t>
  </si>
  <si>
    <t>Dimmer vertical buttons</t>
  </si>
  <si>
    <t>98592.256.BL1</t>
  </si>
  <si>
    <t>Ajax CenterButton (Dimmer) vertical</t>
  </si>
  <si>
    <t>91251.256.WH1</t>
  </si>
  <si>
    <t>98599.256.OY1</t>
  </si>
  <si>
    <t>98598.256.OL1</t>
  </si>
  <si>
    <t>98597.256.IV1</t>
  </si>
  <si>
    <t>98596.256.GR1</t>
  </si>
  <si>
    <t>98595.256.GP1</t>
  </si>
  <si>
    <t>98594.256.FG1</t>
  </si>
  <si>
    <t>98600.254.BL1</t>
  </si>
  <si>
    <t>Ajax SideButton (Dimmer) vertical</t>
  </si>
  <si>
    <t>91253.254.WH1</t>
  </si>
  <si>
    <t>98606.254.OY1</t>
  </si>
  <si>
    <t>98605.254.OL1</t>
  </si>
  <si>
    <t>98604.254.IV1</t>
  </si>
  <si>
    <t>98603.254.GR1</t>
  </si>
  <si>
    <t>98602.254.GP1</t>
  </si>
  <si>
    <t>98601.254.FG1</t>
  </si>
  <si>
    <t>Bypass Dimmer</t>
  </si>
  <si>
    <t>Bypass (Dimmer) optimizes the operation of dimmer light switches by reducing the minimum lamp load power needed.</t>
  </si>
  <si>
    <t>98614.126.NC</t>
  </si>
  <si>
    <t>Ajax Bypass (Dimmer)</t>
  </si>
  <si>
    <t>CoverPlate</t>
  </si>
  <si>
    <t>Mounting box cover</t>
  </si>
  <si>
    <t>126118.320.NC</t>
  </si>
  <si>
    <t>Ajax CoverHolder</t>
  </si>
  <si>
    <t>126119.320.NC</t>
  </si>
  <si>
    <t>Ajax CoverHolder vertical</t>
  </si>
  <si>
    <t>126121.321.BL</t>
  </si>
  <si>
    <t xml:space="preserve">Ajax SoloCover (СP) </t>
  </si>
  <si>
    <t>126120.321.WH</t>
  </si>
  <si>
    <t>126122.321.IV</t>
  </si>
  <si>
    <t>126123.321.GR</t>
  </si>
  <si>
    <t>126124.321.GP</t>
  </si>
  <si>
    <t>126125.321.FG</t>
  </si>
  <si>
    <t>126126.321.OY</t>
  </si>
  <si>
    <t>126127.321.OL</t>
  </si>
  <si>
    <t>126129.322.BL</t>
  </si>
  <si>
    <t xml:space="preserve">Ajax CenterCover (CP) </t>
  </si>
  <si>
    <t>126128.322.WH</t>
  </si>
  <si>
    <t>126130.322.IV</t>
  </si>
  <si>
    <t>126131.322.GR</t>
  </si>
  <si>
    <t>126132.322.GP</t>
  </si>
  <si>
    <t>126133.322.FG</t>
  </si>
  <si>
    <t>126134.322.OY</t>
  </si>
  <si>
    <t>126135.322.OL</t>
  </si>
  <si>
    <t>126137.323.BL</t>
  </si>
  <si>
    <t>Ajax SideCover (CP)</t>
  </si>
  <si>
    <t>126136.323.WH</t>
  </si>
  <si>
    <t>126138.323.IV</t>
  </si>
  <si>
    <t>126139.323.GR</t>
  </si>
  <si>
    <t>126140.323.GP</t>
  </si>
  <si>
    <t>126141.323.FG</t>
  </si>
  <si>
    <t>126142.323.OY</t>
  </si>
  <si>
    <t>126143.323.OL</t>
  </si>
  <si>
    <t xml:space="preserve">Surface mounting box </t>
  </si>
  <si>
    <t>107589.293.WH</t>
  </si>
  <si>
    <t>SurfaceBox</t>
  </si>
  <si>
    <t xml:space="preserve">Ajax Services                                                                                </t>
  </si>
  <si>
    <t>Ajax Services is an umbrella term covering the broad set of tools and capabilities designed to empower our partners. Through our advanced digital infrastructure and cloud-based approach, we deliver valuable services to enhance product experience. Ajax Services expand software possibilities, improve signaling, and streamline security management. By partnering with Ajax, you gain access to a stable ecosystem that helps your business thrive.</t>
  </si>
  <si>
    <t>Ajax SIM</t>
  </si>
  <si>
    <t>Service</t>
  </si>
  <si>
    <t>Billing period</t>
  </si>
  <si>
    <t xml:space="preserve">Ajax SIM			</t>
  </si>
  <si>
    <t>Monthly</t>
  </si>
  <si>
    <t>Cloud Storage</t>
  </si>
  <si>
    <r>
      <rPr>
        <b/>
        <i/>
        <sz val="10"/>
        <color theme="1"/>
        <rFont val="Arial"/>
      </rPr>
      <t xml:space="preserve">Subscription plan – </t>
    </r>
    <r>
      <rPr>
        <b/>
        <i/>
        <sz val="10"/>
        <color rgb="FFFF0000"/>
        <rFont val="Arial"/>
      </rPr>
      <t>Economy</t>
    </r>
    <r>
      <rPr>
        <b/>
        <i/>
        <sz val="10"/>
        <color theme="1"/>
        <rFont val="Arial"/>
      </rPr>
      <t xml:space="preserve">. Bitrate 512 – fps 15 – resolution 1080p – 1 picture </t>
    </r>
  </si>
  <si>
    <t>Economy – 1 camera – 600 min – 7 days</t>
  </si>
  <si>
    <t>Economy – 1 camera – 1500 min – 30 days</t>
  </si>
  <si>
    <t>Economy – 4 cameras – 600 min – 7 days</t>
  </si>
  <si>
    <t>Economy – 4 cameras – 1500 min – 30 days</t>
  </si>
  <si>
    <r>
      <rPr>
        <b/>
        <i/>
        <sz val="10"/>
        <color theme="1"/>
        <rFont val="Arial"/>
      </rPr>
      <t xml:space="preserve">Subscription plan – </t>
    </r>
    <r>
      <rPr>
        <b/>
        <i/>
        <sz val="10"/>
        <color rgb="FFFF0000"/>
        <rFont val="Arial"/>
      </rPr>
      <t>Standard</t>
    </r>
    <r>
      <rPr>
        <b/>
        <i/>
        <sz val="10"/>
        <color theme="1"/>
        <rFont val="Arial"/>
      </rPr>
      <t>. Bitrate 1536 – fps 20 – resolution 2k – 3 pictures</t>
    </r>
  </si>
  <si>
    <t>Standard – 1 camera – 600 min – 7 days</t>
  </si>
  <si>
    <t>Standard – 1 camera – 1500 min – 30 days</t>
  </si>
  <si>
    <t>Standard – 4 cameras – 600 min – 7 days</t>
  </si>
  <si>
    <t>Standard – 4 cameras – 1500 min – 30 days</t>
  </si>
  <si>
    <r>
      <rPr>
        <b/>
        <i/>
        <sz val="10"/>
        <color theme="1"/>
        <rFont val="Arial"/>
      </rPr>
      <t xml:space="preserve">Subscription plan – </t>
    </r>
    <r>
      <rPr>
        <b/>
        <i/>
        <sz val="10"/>
        <color rgb="FFFF0000"/>
        <rFont val="Arial"/>
      </rPr>
      <t>Premium</t>
    </r>
    <r>
      <rPr>
        <b/>
        <i/>
        <sz val="10"/>
        <color theme="1"/>
        <rFont val="Arial"/>
      </rPr>
      <t>. Bitrate 2048 – fps 25 – resolution 2k – 5 pictures</t>
    </r>
  </si>
  <si>
    <t>Premium – 1 camera – 600 min – 7 days</t>
  </si>
  <si>
    <t>Premium – 1 camera – 1500 min – 30 days</t>
  </si>
  <si>
    <t>Premium – 4 cameras – 600 min – 7 days</t>
  </si>
  <si>
    <t>Premium – 4 cameras – 1500 min – 30 days</t>
  </si>
  <si>
    <t>Ajax Photo Mode</t>
  </si>
  <si>
    <t>Photo Mode</t>
  </si>
  <si>
    <t>Annual</t>
  </si>
  <si>
    <t>61341.177.BL</t>
  </si>
  <si>
    <t>DoorProtect G3 Fibra</t>
  </si>
  <si>
    <t>61340.177.WH2</t>
  </si>
  <si>
    <t>44400.12.BL1</t>
  </si>
  <si>
    <t>Keypad Fibra</t>
  </si>
  <si>
    <t>44401.12.WH1</t>
  </si>
  <si>
    <t>57204.170.NC1</t>
  </si>
  <si>
    <t>LineSplit Fibra</t>
  </si>
  <si>
    <t>4823114046278</t>
  </si>
  <si>
    <t>TurretCam (5 Mp/2.8 mm)</t>
  </si>
  <si>
    <t>4823114046285</t>
  </si>
  <si>
    <t>4823114046292</t>
  </si>
  <si>
    <t>TurretCam (5 Mp/4 mm)</t>
  </si>
  <si>
    <t>4823114046308</t>
  </si>
  <si>
    <t>4823114046315</t>
  </si>
  <si>
    <t>TurretCam (8 Mp/2.8 mm)</t>
  </si>
  <si>
    <t>4823114046322</t>
  </si>
  <si>
    <t>4823114046339</t>
  </si>
  <si>
    <t>TurretCam (8 Mp/4 mm)</t>
  </si>
  <si>
    <t>4823114046346</t>
  </si>
  <si>
    <t>4823114050640</t>
  </si>
  <si>
    <t>BulletCam (5 Mp/2.8 mm)</t>
  </si>
  <si>
    <t>4823114050688</t>
  </si>
  <si>
    <t>4823114050657</t>
  </si>
  <si>
    <t>BulletCam (5 Mp/4 mm)</t>
  </si>
  <si>
    <t>4823114050695</t>
  </si>
  <si>
    <t>4823114050664</t>
  </si>
  <si>
    <t>BulletCam (8 Mp/2.8 mm)</t>
  </si>
  <si>
    <t>4823114050701</t>
  </si>
  <si>
    <t>4823114050671</t>
  </si>
  <si>
    <t>BulletCam (8 Mp/4 mm)</t>
  </si>
  <si>
    <t>4823114050718</t>
  </si>
  <si>
    <t>4823114047824</t>
  </si>
  <si>
    <t>DomeCam Mini (5 Mp/2.8 mm)</t>
  </si>
  <si>
    <t>4823114047817</t>
  </si>
  <si>
    <t>4823114047848</t>
  </si>
  <si>
    <t>DomeCam Mini (5 Mp/4 mm)</t>
  </si>
  <si>
    <t>4823114047831</t>
  </si>
  <si>
    <t>4823114047862</t>
  </si>
  <si>
    <t>DomeCam Mini (8 Mp/2.8 mm)</t>
  </si>
  <si>
    <t>4823114047855</t>
  </si>
  <si>
    <t>4823114047886</t>
  </si>
  <si>
    <t>DomeCam Mini (8 Mp/4 mm)</t>
  </si>
  <si>
    <t>4823114047879</t>
  </si>
  <si>
    <t>4823114072895</t>
  </si>
  <si>
    <t>4823114072901</t>
  </si>
  <si>
    <t>4823114072918</t>
  </si>
  <si>
    <t>4823114072925</t>
  </si>
  <si>
    <t>4823114072932</t>
  </si>
  <si>
    <t>4823114072949</t>
  </si>
  <si>
    <t>4823114072956</t>
  </si>
  <si>
    <t>4823114072963</t>
  </si>
  <si>
    <t>4823114073052</t>
  </si>
  <si>
    <t>4823114073069</t>
  </si>
  <si>
    <t>4823114073076</t>
  </si>
  <si>
    <t>4823114073083</t>
  </si>
  <si>
    <t>4823114073090</t>
  </si>
  <si>
    <t>4823114073106</t>
  </si>
  <si>
    <t>4823114073113</t>
  </si>
  <si>
    <t>4823114073120</t>
  </si>
  <si>
    <t>Currency: CHF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</si>
</sst>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00"/>
  </numFmts>
  <fonts count="63">
    <font>
      <sz val="10"/>
      <color rgb="FF000000"/>
      <name val="Arial"/>
      <scheme val="minor"/>
    </font>
    <font>
      <sz val="10"/>
      <color theme="1"/>
      <name val="Roboto"/>
    </font>
    <font>
      <sz val="10"/>
      <color theme="1"/>
      <name val="Roboto"/>
    </font>
    <font>
      <sz val="8"/>
      <color rgb="FF000000"/>
      <name val="Roboto"/>
    </font>
    <font>
      <sz val="10"/>
      <name val="Arial"/>
    </font>
    <font>
      <sz val="7"/>
      <color theme="1"/>
      <name val="Roboto"/>
    </font>
    <font>
      <b/>
      <sz val="7"/>
      <color theme="1"/>
      <name val="Roboto"/>
    </font>
    <font>
      <b/>
      <sz val="10"/>
      <color rgb="FF4BAA79"/>
      <name val="Roboto"/>
    </font>
    <font>
      <b/>
      <sz val="12"/>
      <color theme="1"/>
      <name val="Roboto"/>
    </font>
    <font>
      <sz val="10"/>
      <color theme="1"/>
      <name val="Arial"/>
    </font>
    <font>
      <b/>
      <sz val="10"/>
      <color theme="1"/>
      <name val="Roboto"/>
    </font>
    <font>
      <b/>
      <i/>
      <sz val="10"/>
      <color theme="1"/>
      <name val="Roboto"/>
    </font>
    <font>
      <b/>
      <i/>
      <sz val="10"/>
      <color theme="1"/>
      <name val="Roboto"/>
    </font>
    <font>
      <i/>
      <u/>
      <sz val="10"/>
      <color rgb="FF1155CC"/>
      <name val="Roboto"/>
    </font>
    <font>
      <i/>
      <u/>
      <sz val="10"/>
      <color rgb="FF1155CC"/>
      <name val="Roboto"/>
    </font>
    <font>
      <i/>
      <u/>
      <sz val="10"/>
      <color rgb="FF1155CC"/>
      <name val="Roboto"/>
    </font>
    <font>
      <b/>
      <sz val="10"/>
      <color theme="1"/>
      <name val="Roboto"/>
    </font>
    <font>
      <i/>
      <u/>
      <sz val="10"/>
      <color rgb="FF1155CC"/>
      <name val="Roboto"/>
    </font>
    <font>
      <i/>
      <u/>
      <sz val="10"/>
      <color rgb="FF1155CC"/>
      <name val="Roboto"/>
    </font>
    <font>
      <i/>
      <u/>
      <sz val="10"/>
      <color rgb="FF1155CC"/>
      <name val="Roboto"/>
    </font>
    <font>
      <i/>
      <u/>
      <sz val="10"/>
      <color rgb="FF0000FF"/>
      <name val="Roboto"/>
    </font>
    <font>
      <sz val="10"/>
      <color theme="1"/>
      <name val="Arial"/>
      <scheme val="minor"/>
    </font>
    <font>
      <i/>
      <u/>
      <sz val="10"/>
      <color rgb="FF1155CC"/>
      <name val="Roboto"/>
    </font>
    <font>
      <sz val="10"/>
      <color rgb="FF000000"/>
      <name val="Arial"/>
    </font>
    <font>
      <i/>
      <u/>
      <sz val="10"/>
      <color rgb="FF1155CC"/>
      <name val="Roboto"/>
    </font>
    <font>
      <i/>
      <u/>
      <sz val="10"/>
      <color rgb="FF0000FF"/>
      <name val="Roboto"/>
    </font>
    <font>
      <i/>
      <u/>
      <sz val="10"/>
      <color rgb="FF1155CC"/>
      <name val="Roboto"/>
    </font>
    <font>
      <i/>
      <u/>
      <sz val="10"/>
      <color rgb="FF0000FF"/>
      <name val="Roboto"/>
    </font>
    <font>
      <i/>
      <u/>
      <sz val="10"/>
      <color rgb="FF1155CC"/>
      <name val="Roboto"/>
    </font>
    <font>
      <i/>
      <u/>
      <sz val="10"/>
      <color rgb="FF1155CC"/>
      <name val="Roboto"/>
    </font>
    <font>
      <i/>
      <u/>
      <sz val="10"/>
      <color rgb="FF1155CC"/>
      <name val="Roboto"/>
    </font>
    <font>
      <i/>
      <u/>
      <sz val="10"/>
      <color rgb="FF1155CC"/>
      <name val="Roboto"/>
    </font>
    <font>
      <i/>
      <u/>
      <sz val="10"/>
      <color rgb="FF0000FF"/>
      <name val="Roboto"/>
    </font>
    <font>
      <sz val="10"/>
      <name val="Roboto"/>
    </font>
    <font>
      <sz val="10"/>
      <color rgb="FF000000"/>
      <name val="Roboto"/>
    </font>
    <font>
      <i/>
      <u/>
      <sz val="10"/>
      <color rgb="FF0000FF"/>
      <name val="Roboto"/>
    </font>
    <font>
      <u/>
      <sz val="10"/>
      <color rgb="FF0000FF"/>
      <name val="Arial"/>
    </font>
    <font>
      <u/>
      <sz val="10"/>
      <color rgb="FF0000FF"/>
      <name val="Arial"/>
    </font>
    <font>
      <i/>
      <sz val="10"/>
      <color theme="1"/>
      <name val="Roboto"/>
    </font>
    <font>
      <b/>
      <sz val="10"/>
      <color rgb="FF000000"/>
      <name val="Roboto"/>
    </font>
    <font>
      <i/>
      <u/>
      <sz val="10"/>
      <color rgb="FF0000FF"/>
      <name val="Roboto"/>
    </font>
    <font>
      <i/>
      <u/>
      <sz val="10"/>
      <color rgb="FF0000FF"/>
      <name val="Roboto"/>
    </font>
    <font>
      <i/>
      <u/>
      <sz val="10"/>
      <color rgb="FF0000FF"/>
      <name val="Roboto"/>
    </font>
    <font>
      <i/>
      <u/>
      <sz val="10"/>
      <color rgb="FF0000FF"/>
      <name val="Roboto"/>
    </font>
    <font>
      <sz val="10"/>
      <color theme="1"/>
      <name val="Arial"/>
    </font>
    <font>
      <i/>
      <u/>
      <sz val="10"/>
      <color rgb="FF0000FF"/>
      <name val="Roboto"/>
    </font>
    <font>
      <i/>
      <u/>
      <sz val="10"/>
      <color rgb="FF0000FF"/>
      <name val="Roboto"/>
    </font>
    <font>
      <sz val="11"/>
      <color theme="1"/>
      <name val="Calibri"/>
    </font>
    <font>
      <i/>
      <u/>
      <sz val="10"/>
      <color rgb="FF1155CC"/>
      <name val="Roboto"/>
    </font>
    <font>
      <u/>
      <sz val="10"/>
      <color rgb="FF0000FF"/>
      <name val="Roboto"/>
    </font>
    <font>
      <i/>
      <u/>
      <sz val="10"/>
      <color rgb="FF1155CC"/>
      <name val="Roboto"/>
    </font>
    <font>
      <i/>
      <u/>
      <sz val="10"/>
      <color rgb="FF1155CC"/>
      <name val="Roboto"/>
    </font>
    <font>
      <i/>
      <u/>
      <sz val="10"/>
      <color rgb="FF1155CC"/>
      <name val="Roboto"/>
    </font>
    <font>
      <i/>
      <sz val="10"/>
      <color theme="1"/>
      <name val="Roboto"/>
    </font>
    <font>
      <sz val="10"/>
      <color rgb="FF000000"/>
      <name val="Arial"/>
      <scheme val="minor"/>
    </font>
    <font>
      <sz val="10"/>
      <color rgb="FF000000"/>
      <name val="Arial"/>
    </font>
    <font>
      <b/>
      <sz val="13"/>
      <color rgb="FF000000"/>
      <name val="Roboto"/>
    </font>
    <font>
      <i/>
      <u/>
      <sz val="10"/>
      <color rgb="FF0000FF"/>
      <name val="Roboto"/>
    </font>
    <font>
      <i/>
      <sz val="10"/>
      <color theme="1"/>
      <name val="Arial"/>
    </font>
    <font>
      <b/>
      <i/>
      <sz val="10"/>
      <color theme="1"/>
      <name val="Arial"/>
    </font>
    <font>
      <b/>
      <sz val="10"/>
      <color rgb="FFFF0000"/>
      <name val="Roboto"/>
    </font>
    <font>
      <sz val="12"/>
      <color theme="1"/>
      <name val="Roboto"/>
    </font>
    <font>
      <b/>
      <i/>
      <sz val="10"/>
      <color rgb="FFFF0000"/>
      <name val="Arial"/>
    </font>
  </fonts>
  <fills count="5">
    <fill>
      <patternFill patternType="none"/>
    </fill>
    <fill>
      <patternFill patternType="gray125"/>
    </fill>
    <fill>
      <patternFill patternType="solid">
        <fgColor rgb="FFC0C0C0"/>
        <bgColor rgb="FFC0C0C0"/>
      </patternFill>
    </fill>
    <fill>
      <patternFill patternType="solid">
        <fgColor rgb="FFFFFFFF"/>
        <bgColor rgb="FFFFFFFF"/>
      </patternFill>
    </fill>
    <fill>
      <patternFill patternType="solid">
        <fgColor rgb="FFD9EAD3"/>
        <bgColor rgb="FFD9EAD3"/>
      </patternFill>
    </fill>
  </fills>
  <borders count="45">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style="thin">
        <color rgb="FF808080"/>
      </left>
      <right style="thin">
        <color rgb="FF808080"/>
      </right>
      <top/>
      <bottom/>
      <diagonal/>
    </border>
    <border>
      <left style="thin">
        <color rgb="FF000000"/>
      </left>
      <right style="thin">
        <color rgb="FF000000"/>
      </right>
      <top/>
      <bottom style="thin">
        <color rgb="FF000000"/>
      </bottom>
      <diagonal/>
    </border>
    <border>
      <left style="thin">
        <color rgb="FFFFFFFF"/>
      </left>
      <right/>
      <top/>
      <bottom/>
      <diagonal/>
    </border>
    <border>
      <left/>
      <right style="thin">
        <color rgb="FFFFFFFF"/>
      </right>
      <top/>
      <bottom/>
      <diagonal/>
    </border>
    <border>
      <left style="thin">
        <color rgb="FFFFFFFF"/>
      </left>
      <right style="thin">
        <color rgb="FFFFFFFF"/>
      </right>
      <top/>
      <bottom/>
      <diagonal/>
    </border>
    <border>
      <left/>
      <right style="thin">
        <color rgb="FF808080"/>
      </right>
      <top style="thin">
        <color rgb="FF808080"/>
      </top>
      <bottom style="thin">
        <color rgb="FF808080"/>
      </bottom>
      <diagonal/>
    </border>
    <border>
      <left/>
      <right style="thin">
        <color rgb="FF808080"/>
      </right>
      <top/>
      <bottom style="thin">
        <color rgb="FF808080"/>
      </bottom>
      <diagonal/>
    </border>
    <border>
      <left/>
      <right style="thin">
        <color rgb="FF808080"/>
      </right>
      <top style="thin">
        <color rgb="FF808080"/>
      </top>
      <bottom/>
      <diagonal/>
    </border>
    <border>
      <left/>
      <right style="thin">
        <color rgb="FF808080"/>
      </right>
      <top/>
      <bottom/>
      <diagonal/>
    </border>
    <border>
      <left/>
      <right style="thin">
        <color rgb="FF808080"/>
      </right>
      <top/>
      <bottom style="thin">
        <color rgb="FF000000"/>
      </bottom>
      <diagonal/>
    </border>
    <border>
      <left/>
      <right style="thin">
        <color rgb="FF000000"/>
      </right>
      <top/>
      <bottom style="thin">
        <color rgb="FF000000"/>
      </bottom>
      <diagonal/>
    </border>
    <border>
      <left/>
      <right style="thin">
        <color rgb="FF000000"/>
      </right>
      <top style="thin">
        <color rgb="FF808080"/>
      </top>
      <bottom style="thin">
        <color rgb="FF808080"/>
      </bottom>
      <diagonal/>
    </border>
    <border>
      <left/>
      <right style="thin">
        <color rgb="FF000000"/>
      </right>
      <top style="thin">
        <color rgb="FF000000"/>
      </top>
      <bottom style="thin">
        <color rgb="FF000000"/>
      </bottom>
      <diagonal/>
    </border>
    <border>
      <left/>
      <right style="thin">
        <color rgb="FF000000"/>
      </right>
      <top/>
      <bottom style="thin">
        <color rgb="FF808080"/>
      </bottom>
      <diagonal/>
    </border>
    <border>
      <left/>
      <right/>
      <top style="thin">
        <color rgb="FF808080"/>
      </top>
      <bottom style="thin">
        <color rgb="FF808080"/>
      </bottom>
      <diagonal/>
    </border>
    <border>
      <left/>
      <right/>
      <top/>
      <bottom style="thin">
        <color rgb="FF80808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style="thin">
        <color rgb="FF808080"/>
      </top>
      <bottom/>
      <diagonal/>
    </border>
    <border>
      <left style="thin">
        <color rgb="FFFFFFFF"/>
      </left>
      <right style="thin">
        <color rgb="FF808080"/>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808080"/>
      </left>
      <right/>
      <top style="thin">
        <color rgb="FF808080"/>
      </top>
      <bottom style="thin">
        <color rgb="FF000000"/>
      </bottom>
      <diagonal/>
    </border>
    <border>
      <left/>
      <right/>
      <top style="thin">
        <color rgb="FF808080"/>
      </top>
      <bottom style="thin">
        <color rgb="FF000000"/>
      </bottom>
      <diagonal/>
    </border>
    <border>
      <left/>
      <right style="thin">
        <color rgb="FF808080"/>
      </right>
      <top style="thin">
        <color rgb="FF808080"/>
      </top>
      <bottom style="thin">
        <color rgb="FF000000"/>
      </bottom>
      <diagonal/>
    </border>
  </borders>
  <cellStyleXfs count="1">
    <xf numFmtId="0" fontId="0" fillId="0" borderId="0"/>
  </cellStyleXfs>
  <cellXfs count="336">
    <xf numFmtId="0" fontId="0" fillId="0" borderId="0" xfId="0"/>
    <xf numFmtId="0" fontId="1" fillId="0" borderId="1" xfId="0" applyFont="1" applyBorder="1"/>
    <xf numFmtId="0" fontId="2"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4" fontId="1" fillId="0" borderId="1" xfId="0" applyNumberFormat="1" applyFont="1" applyBorder="1" applyAlignment="1">
      <alignment horizontal="center"/>
    </xf>
    <xf numFmtId="0" fontId="5" fillId="0" borderId="6" xfId="0" applyFont="1" applyBorder="1" applyAlignment="1">
      <alignment horizontal="right" vertical="top" wrapText="1"/>
    </xf>
    <xf numFmtId="0" fontId="5" fillId="0" borderId="1" xfId="0" applyFont="1" applyBorder="1" applyAlignment="1">
      <alignment horizontal="right" vertical="top" wrapText="1"/>
    </xf>
    <xf numFmtId="0" fontId="6" fillId="0" borderId="8" xfId="0" applyFont="1" applyBorder="1" applyAlignment="1">
      <alignment horizontal="right"/>
    </xf>
    <xf numFmtId="0" fontId="2" fillId="0" borderId="1" xfId="0" applyFont="1" applyBorder="1" applyAlignment="1">
      <alignment horizontal="left"/>
    </xf>
    <xf numFmtId="0" fontId="2" fillId="0" borderId="1" xfId="0" applyFont="1" applyBorder="1" applyAlignment="1">
      <alignment horizontal="center"/>
    </xf>
    <xf numFmtId="4" fontId="2" fillId="0" borderId="1" xfId="0" applyNumberFormat="1" applyFont="1" applyBorder="1" applyAlignment="1">
      <alignment horizontal="center"/>
    </xf>
    <xf numFmtId="0" fontId="7" fillId="0" borderId="1" xfId="0" applyFont="1" applyBorder="1" applyAlignment="1">
      <alignment horizontal="left" vertical="center"/>
    </xf>
    <xf numFmtId="0" fontId="9" fillId="0" borderId="1" xfId="0" applyFont="1" applyBorder="1"/>
    <xf numFmtId="0" fontId="10" fillId="0" borderId="1" xfId="0" applyFont="1" applyBorder="1"/>
    <xf numFmtId="4" fontId="9" fillId="0" borderId="1" xfId="0" applyNumberFormat="1" applyFont="1" applyBorder="1"/>
    <xf numFmtId="0" fontId="11" fillId="2" borderId="2" xfId="0" applyFont="1" applyFill="1" applyBorder="1" applyAlignment="1">
      <alignment horizontal="center" wrapText="1"/>
    </xf>
    <xf numFmtId="0" fontId="12" fillId="2" borderId="2" xfId="0" applyFont="1" applyFill="1" applyBorder="1" applyAlignment="1">
      <alignment wrapText="1"/>
    </xf>
    <xf numFmtId="0" fontId="12" fillId="2" borderId="2" xfId="0" applyFont="1" applyFill="1" applyBorder="1"/>
    <xf numFmtId="0" fontId="12" fillId="2" borderId="5" xfId="0" applyFont="1" applyFill="1" applyBorder="1" applyAlignment="1">
      <alignment horizontal="center" wrapText="1"/>
    </xf>
    <xf numFmtId="2" fontId="12" fillId="2" borderId="2" xfId="0" applyNumberFormat="1" applyFont="1" applyFill="1" applyBorder="1" applyAlignment="1">
      <alignment horizontal="center" wrapText="1"/>
    </xf>
    <xf numFmtId="164" fontId="12" fillId="2" borderId="2" xfId="0" applyNumberFormat="1" applyFont="1" applyFill="1" applyBorder="1" applyAlignment="1">
      <alignment horizontal="center" wrapText="1"/>
    </xf>
    <xf numFmtId="0" fontId="9" fillId="0" borderId="6" xfId="0" applyFont="1" applyBorder="1"/>
    <xf numFmtId="0" fontId="13" fillId="0" borderId="13" xfId="0" applyFont="1" applyBorder="1" applyAlignment="1">
      <alignment horizontal="center" wrapText="1"/>
    </xf>
    <xf numFmtId="0" fontId="1" fillId="0" borderId="14" xfId="0" applyFont="1" applyBorder="1" applyAlignment="1">
      <alignment horizontal="left"/>
    </xf>
    <xf numFmtId="0" fontId="1" fillId="0" borderId="14" xfId="0" applyFont="1" applyBorder="1"/>
    <xf numFmtId="0" fontId="1" fillId="0" borderId="14" xfId="0" applyFont="1" applyBorder="1" applyAlignment="1">
      <alignment horizontal="center"/>
    </xf>
    <xf numFmtId="4" fontId="1" fillId="0" borderId="14" xfId="0" applyNumberFormat="1" applyFont="1" applyBorder="1" applyAlignment="1">
      <alignment horizontal="center"/>
    </xf>
    <xf numFmtId="4" fontId="1" fillId="0" borderId="15" xfId="0" applyNumberFormat="1" applyFont="1" applyBorder="1" applyAlignment="1">
      <alignment horizontal="center"/>
    </xf>
    <xf numFmtId="4" fontId="1" fillId="0" borderId="16" xfId="0" applyNumberFormat="1" applyFont="1" applyBorder="1" applyAlignment="1">
      <alignment horizontal="center"/>
    </xf>
    <xf numFmtId="4" fontId="1" fillId="0" borderId="17" xfId="0" applyNumberFormat="1" applyFont="1" applyBorder="1" applyAlignment="1">
      <alignment horizontal="center"/>
    </xf>
    <xf numFmtId="0" fontId="1" fillId="3" borderId="14" xfId="0" applyFont="1" applyFill="1" applyBorder="1" applyAlignment="1">
      <alignment horizontal="center"/>
    </xf>
    <xf numFmtId="0" fontId="9" fillId="0" borderId="13" xfId="0" applyFont="1" applyBorder="1" applyAlignment="1">
      <alignment horizontal="left"/>
    </xf>
    <xf numFmtId="0" fontId="9" fillId="0" borderId="13" xfId="0" applyFont="1" applyBorder="1"/>
    <xf numFmtId="0" fontId="1" fillId="0" borderId="13" xfId="0" applyFont="1" applyBorder="1"/>
    <xf numFmtId="0" fontId="1" fillId="0" borderId="13" xfId="0" applyFont="1" applyBorder="1" applyAlignment="1">
      <alignment horizontal="center"/>
    </xf>
    <xf numFmtId="4" fontId="9" fillId="0" borderId="13" xfId="0" applyNumberFormat="1" applyFont="1" applyBorder="1" applyAlignment="1">
      <alignment horizontal="center"/>
    </xf>
    <xf numFmtId="0" fontId="14" fillId="4" borderId="13" xfId="0" applyFont="1" applyFill="1" applyBorder="1" applyAlignment="1">
      <alignment horizontal="center" wrapText="1"/>
    </xf>
    <xf numFmtId="0" fontId="9" fillId="4" borderId="13" xfId="0" applyFont="1" applyFill="1" applyBorder="1" applyAlignment="1">
      <alignment horizontal="left"/>
    </xf>
    <xf numFmtId="0" fontId="1" fillId="4" borderId="13" xfId="0" applyFont="1" applyFill="1" applyBorder="1"/>
    <xf numFmtId="0" fontId="9" fillId="4" borderId="13" xfId="0" applyFont="1" applyFill="1" applyBorder="1" applyAlignment="1">
      <alignment horizontal="center"/>
    </xf>
    <xf numFmtId="4" fontId="9" fillId="4" borderId="13" xfId="0" applyNumberFormat="1" applyFont="1" applyFill="1" applyBorder="1" applyAlignment="1">
      <alignment horizontal="center"/>
    </xf>
    <xf numFmtId="0" fontId="1" fillId="4" borderId="13" xfId="0" applyFont="1" applyFill="1" applyBorder="1" applyAlignment="1">
      <alignment horizontal="center"/>
    </xf>
    <xf numFmtId="0" fontId="2" fillId="0" borderId="6" xfId="0" applyFont="1" applyBorder="1"/>
    <xf numFmtId="0" fontId="12" fillId="2" borderId="2" xfId="0" applyFont="1" applyFill="1" applyBorder="1" applyAlignment="1">
      <alignment horizontal="center" wrapText="1"/>
    </xf>
    <xf numFmtId="0" fontId="15" fillId="4" borderId="14" xfId="0" applyFont="1" applyFill="1" applyBorder="1" applyAlignment="1">
      <alignment horizontal="center" wrapText="1"/>
    </xf>
    <xf numFmtId="0" fontId="1" fillId="4" borderId="14" xfId="0" applyFont="1" applyFill="1" applyBorder="1" applyAlignment="1">
      <alignment horizontal="center"/>
    </xf>
    <xf numFmtId="4" fontId="9" fillId="4" borderId="14" xfId="0" applyNumberFormat="1" applyFont="1" applyFill="1" applyBorder="1" applyAlignment="1">
      <alignment horizontal="center"/>
    </xf>
    <xf numFmtId="4" fontId="9" fillId="4" borderId="15" xfId="0" applyNumberFormat="1" applyFont="1" applyFill="1" applyBorder="1" applyAlignment="1">
      <alignment horizontal="center"/>
    </xf>
    <xf numFmtId="0" fontId="9" fillId="0" borderId="2" xfId="0" applyFont="1" applyBorder="1"/>
    <xf numFmtId="0" fontId="9" fillId="0" borderId="8" xfId="0" applyFont="1" applyBorder="1"/>
    <xf numFmtId="0" fontId="16" fillId="0" borderId="1" xfId="0" applyFont="1" applyBorder="1"/>
    <xf numFmtId="0" fontId="2" fillId="0" borderId="2" xfId="0" applyFont="1" applyBorder="1"/>
    <xf numFmtId="0" fontId="2" fillId="0" borderId="2" xfId="0" applyFont="1" applyBorder="1" applyAlignment="1">
      <alignment horizontal="left"/>
    </xf>
    <xf numFmtId="0" fontId="2" fillId="0" borderId="2" xfId="0" applyFont="1" applyBorder="1" applyAlignment="1">
      <alignment horizontal="center"/>
    </xf>
    <xf numFmtId="0" fontId="11" fillId="2" borderId="2" xfId="0" applyFont="1" applyFill="1" applyBorder="1" applyAlignment="1">
      <alignment horizontal="left" wrapText="1"/>
    </xf>
    <xf numFmtId="0" fontId="11" fillId="2" borderId="2" xfId="0" applyFont="1" applyFill="1" applyBorder="1" applyAlignment="1">
      <alignment horizontal="left"/>
    </xf>
    <xf numFmtId="4" fontId="11" fillId="2" borderId="2" xfId="0" applyNumberFormat="1" applyFont="1" applyFill="1" applyBorder="1" applyAlignment="1">
      <alignment horizontal="center" wrapText="1"/>
    </xf>
    <xf numFmtId="2" fontId="11" fillId="2" borderId="2" xfId="0" applyNumberFormat="1" applyFont="1" applyFill="1" applyBorder="1" applyAlignment="1">
      <alignment horizontal="center" wrapText="1"/>
    </xf>
    <xf numFmtId="164" fontId="11" fillId="2" borderId="2" xfId="0" applyNumberFormat="1" applyFont="1" applyFill="1" applyBorder="1" applyAlignment="1">
      <alignment horizontal="center" wrapText="1"/>
    </xf>
    <xf numFmtId="0" fontId="17" fillId="0" borderId="14" xfId="0" applyFont="1" applyBorder="1" applyAlignment="1">
      <alignment horizontal="center" wrapText="1"/>
    </xf>
    <xf numFmtId="0" fontId="2" fillId="0" borderId="14" xfId="0" applyFont="1" applyBorder="1" applyAlignment="1">
      <alignment horizontal="left"/>
    </xf>
    <xf numFmtId="4" fontId="2" fillId="0" borderId="14" xfId="0" applyNumberFormat="1" applyFont="1" applyBorder="1" applyAlignment="1">
      <alignment horizontal="left"/>
    </xf>
    <xf numFmtId="0" fontId="2" fillId="0" borderId="14" xfId="0" applyFont="1" applyBorder="1" applyAlignment="1">
      <alignment horizontal="center"/>
    </xf>
    <xf numFmtId="4" fontId="1" fillId="3" borderId="15" xfId="0" applyNumberFormat="1" applyFont="1" applyFill="1" applyBorder="1" applyAlignment="1">
      <alignment horizontal="center"/>
    </xf>
    <xf numFmtId="0" fontId="18" fillId="0" borderId="16" xfId="0" applyFont="1" applyBorder="1" applyAlignment="1">
      <alignment horizontal="center" wrapText="1"/>
    </xf>
    <xf numFmtId="4" fontId="1" fillId="0" borderId="18" xfId="0" applyNumberFormat="1" applyFont="1" applyBorder="1" applyAlignment="1">
      <alignment horizontal="center"/>
    </xf>
    <xf numFmtId="4" fontId="1" fillId="3" borderId="19" xfId="0" applyNumberFormat="1" applyFont="1" applyFill="1" applyBorder="1" applyAlignment="1">
      <alignment horizontal="center"/>
    </xf>
    <xf numFmtId="0" fontId="19" fillId="0" borderId="20" xfId="0" applyFont="1" applyBorder="1" applyAlignment="1">
      <alignment horizontal="center" wrapText="1"/>
    </xf>
    <xf numFmtId="0" fontId="2" fillId="0" borderId="18" xfId="0" applyFont="1" applyBorder="1" applyAlignment="1">
      <alignment horizontal="left"/>
    </xf>
    <xf numFmtId="0" fontId="2" fillId="0" borderId="18" xfId="0" applyFont="1" applyBorder="1" applyAlignment="1">
      <alignment horizontal="center"/>
    </xf>
    <xf numFmtId="4" fontId="1" fillId="0" borderId="13" xfId="0" applyNumberFormat="1" applyFont="1" applyBorder="1" applyAlignment="1">
      <alignment horizontal="center"/>
    </xf>
    <xf numFmtId="4" fontId="1" fillId="3" borderId="13" xfId="0" applyNumberFormat="1" applyFont="1" applyFill="1" applyBorder="1" applyAlignment="1">
      <alignment horizontal="center"/>
    </xf>
    <xf numFmtId="4" fontId="1" fillId="4" borderId="13" xfId="0" applyNumberFormat="1" applyFont="1" applyFill="1" applyBorder="1"/>
    <xf numFmtId="0" fontId="2" fillId="0" borderId="9" xfId="0" applyFont="1" applyBorder="1"/>
    <xf numFmtId="0" fontId="2" fillId="0" borderId="9" xfId="0" applyFont="1" applyBorder="1" applyAlignment="1">
      <alignment horizontal="left"/>
    </xf>
    <xf numFmtId="0" fontId="2" fillId="0" borderId="9" xfId="0" applyFont="1" applyBorder="1" applyAlignment="1">
      <alignment horizontal="center"/>
    </xf>
    <xf numFmtId="4" fontId="2" fillId="0" borderId="14" xfId="0" applyNumberFormat="1" applyFont="1" applyBorder="1" applyAlignment="1">
      <alignment horizontal="center"/>
    </xf>
    <xf numFmtId="0" fontId="1" fillId="0" borderId="8" xfId="0" applyFont="1" applyBorder="1"/>
    <xf numFmtId="0" fontId="2" fillId="0" borderId="8" xfId="0" applyFont="1" applyBorder="1"/>
    <xf numFmtId="0" fontId="2" fillId="0" borderId="16" xfId="0" applyFont="1" applyBorder="1" applyAlignment="1">
      <alignment horizontal="left"/>
    </xf>
    <xf numFmtId="0" fontId="2" fillId="0" borderId="16" xfId="0" applyFont="1" applyBorder="1" applyAlignment="1">
      <alignment horizontal="center"/>
    </xf>
    <xf numFmtId="0" fontId="20" fillId="0" borderId="16" xfId="0" applyFont="1" applyBorder="1" applyAlignment="1">
      <alignment horizontal="center" wrapText="1"/>
    </xf>
    <xf numFmtId="0" fontId="1" fillId="0" borderId="13" xfId="0" applyFont="1" applyBorder="1" applyAlignment="1">
      <alignment horizontal="left"/>
    </xf>
    <xf numFmtId="4" fontId="1" fillId="0" borderId="13" xfId="0" applyNumberFormat="1" applyFont="1" applyBorder="1"/>
    <xf numFmtId="0" fontId="21" fillId="0" borderId="13" xfId="0" applyFont="1" applyBorder="1" applyAlignment="1">
      <alignment horizontal="left"/>
    </xf>
    <xf numFmtId="0" fontId="21" fillId="0" borderId="13" xfId="0" applyFont="1" applyBorder="1"/>
    <xf numFmtId="0" fontId="2" fillId="0" borderId="13" xfId="0" applyFont="1" applyBorder="1" applyAlignment="1">
      <alignment horizontal="left"/>
    </xf>
    <xf numFmtId="0" fontId="2" fillId="0" borderId="13" xfId="0" applyFont="1" applyBorder="1" applyAlignment="1">
      <alignment horizontal="center"/>
    </xf>
    <xf numFmtId="4" fontId="2" fillId="0" borderId="13" xfId="0" applyNumberFormat="1" applyFont="1" applyBorder="1" applyAlignment="1">
      <alignment horizontal="center"/>
    </xf>
    <xf numFmtId="0" fontId="22" fillId="0" borderId="18" xfId="0" applyFont="1" applyBorder="1" applyAlignment="1">
      <alignment horizontal="center" wrapText="1"/>
    </xf>
    <xf numFmtId="4" fontId="1" fillId="0" borderId="19" xfId="0" applyNumberFormat="1" applyFont="1" applyBorder="1" applyAlignment="1">
      <alignment horizontal="center"/>
    </xf>
    <xf numFmtId="0" fontId="1" fillId="0" borderId="18" xfId="0" applyFont="1" applyBorder="1" applyAlignment="1">
      <alignment horizontal="left"/>
    </xf>
    <xf numFmtId="0" fontId="23" fillId="0" borderId="13" xfId="0" applyFont="1" applyBorder="1"/>
    <xf numFmtId="165" fontId="9" fillId="0" borderId="1" xfId="0" applyNumberFormat="1" applyFont="1" applyBorder="1"/>
    <xf numFmtId="0" fontId="24" fillId="4" borderId="14" xfId="0" applyFont="1" applyFill="1" applyBorder="1" applyAlignment="1">
      <alignment horizontal="center" wrapText="1"/>
    </xf>
    <xf numFmtId="0" fontId="2" fillId="0" borderId="8" xfId="0" applyFont="1" applyBorder="1" applyAlignment="1">
      <alignment horizontal="left"/>
    </xf>
    <xf numFmtId="165" fontId="2" fillId="0" borderId="1" xfId="0" applyNumberFormat="1" applyFont="1" applyBorder="1" applyAlignment="1">
      <alignment horizontal="center"/>
    </xf>
    <xf numFmtId="165" fontId="2" fillId="0" borderId="1" xfId="0" applyNumberFormat="1" applyFont="1" applyBorder="1"/>
    <xf numFmtId="0" fontId="11" fillId="2" borderId="5" xfId="0" applyFont="1" applyFill="1" applyBorder="1" applyAlignment="1">
      <alignment horizontal="left" wrapText="1"/>
    </xf>
    <xf numFmtId="0" fontId="11" fillId="2" borderId="5" xfId="0" applyFont="1" applyFill="1" applyBorder="1" applyAlignment="1">
      <alignment horizontal="left"/>
    </xf>
    <xf numFmtId="0" fontId="11" fillId="2" borderId="5" xfId="0" applyFont="1" applyFill="1" applyBorder="1" applyAlignment="1">
      <alignment horizontal="center" wrapText="1"/>
    </xf>
    <xf numFmtId="0" fontId="2" fillId="0" borderId="15" xfId="0" applyFont="1" applyBorder="1" applyAlignment="1">
      <alignment horizontal="left"/>
    </xf>
    <xf numFmtId="0" fontId="9" fillId="0" borderId="21" xfId="0" applyFont="1" applyBorder="1"/>
    <xf numFmtId="0" fontId="21" fillId="0" borderId="1" xfId="0" applyFont="1" applyBorder="1"/>
    <xf numFmtId="0" fontId="21" fillId="0" borderId="1" xfId="0" applyFont="1" applyBorder="1" applyAlignment="1">
      <alignment horizontal="left"/>
    </xf>
    <xf numFmtId="0" fontId="21" fillId="0" borderId="1" xfId="0" applyFont="1" applyBorder="1" applyAlignment="1">
      <alignment horizontal="center"/>
    </xf>
    <xf numFmtId="0" fontId="25" fillId="0" borderId="14" xfId="0" applyFont="1" applyBorder="1" applyAlignment="1">
      <alignment horizontal="center" wrapText="1"/>
    </xf>
    <xf numFmtId="49" fontId="9" fillId="4" borderId="14" xfId="0" applyNumberFormat="1" applyFont="1" applyFill="1" applyBorder="1" applyAlignment="1">
      <alignment horizontal="left"/>
    </xf>
    <xf numFmtId="0" fontId="1" fillId="4" borderId="14" xfId="0" applyFont="1" applyFill="1" applyBorder="1"/>
    <xf numFmtId="0" fontId="26" fillId="3" borderId="15" xfId="0" applyFont="1" applyFill="1" applyBorder="1" applyAlignment="1">
      <alignment horizontal="center" wrapText="1"/>
    </xf>
    <xf numFmtId="49" fontId="1" fillId="0" borderId="13" xfId="0" applyNumberFormat="1" applyFont="1" applyBorder="1"/>
    <xf numFmtId="0" fontId="1" fillId="0" borderId="6" xfId="0" applyFont="1" applyBorder="1"/>
    <xf numFmtId="0" fontId="5" fillId="0" borderId="8" xfId="0" applyFont="1" applyBorder="1" applyAlignment="1">
      <alignment horizontal="right"/>
    </xf>
    <xf numFmtId="0" fontId="21" fillId="0" borderId="6" xfId="0" applyFont="1" applyBorder="1"/>
    <xf numFmtId="0" fontId="2" fillId="0" borderId="6" xfId="0" applyFont="1" applyBorder="1" applyAlignment="1">
      <alignment horizontal="center"/>
    </xf>
    <xf numFmtId="0" fontId="2" fillId="0" borderId="0" xfId="0" applyFont="1"/>
    <xf numFmtId="164" fontId="2" fillId="0" borderId="6" xfId="0" applyNumberFormat="1" applyFont="1" applyBorder="1"/>
    <xf numFmtId="0" fontId="2" fillId="0" borderId="7" xfId="0" applyFont="1" applyBorder="1"/>
    <xf numFmtId="0" fontId="2" fillId="0" borderId="19" xfId="0" applyFont="1" applyBorder="1" applyAlignment="1">
      <alignment horizontal="left"/>
    </xf>
    <xf numFmtId="0" fontId="1" fillId="4" borderId="13" xfId="0" applyFont="1" applyFill="1" applyBorder="1" applyAlignment="1">
      <alignment horizontal="left"/>
    </xf>
    <xf numFmtId="0" fontId="2" fillId="4" borderId="13" xfId="0" applyFont="1" applyFill="1" applyBorder="1" applyAlignment="1">
      <alignment horizontal="left"/>
    </xf>
    <xf numFmtId="4" fontId="2" fillId="4" borderId="13" xfId="0" applyNumberFormat="1" applyFont="1" applyFill="1" applyBorder="1" applyAlignment="1">
      <alignment horizontal="center"/>
    </xf>
    <xf numFmtId="0" fontId="27" fillId="4" borderId="13" xfId="0" applyFont="1" applyFill="1" applyBorder="1" applyAlignment="1">
      <alignment horizontal="center" wrapText="1"/>
    </xf>
    <xf numFmtId="0" fontId="2" fillId="4" borderId="13" xfId="0" applyFont="1" applyFill="1" applyBorder="1" applyAlignment="1">
      <alignment horizontal="center"/>
    </xf>
    <xf numFmtId="0" fontId="28" fillId="3" borderId="14" xfId="0" applyFont="1" applyFill="1" applyBorder="1" applyAlignment="1">
      <alignment horizontal="center" wrapText="1"/>
    </xf>
    <xf numFmtId="0" fontId="29" fillId="3" borderId="16" xfId="0" applyFont="1" applyFill="1" applyBorder="1" applyAlignment="1">
      <alignment horizontal="center" wrapText="1"/>
    </xf>
    <xf numFmtId="165" fontId="2" fillId="0" borderId="9" xfId="0" applyNumberFormat="1" applyFont="1" applyBorder="1" applyAlignment="1">
      <alignment horizontal="center"/>
    </xf>
    <xf numFmtId="165" fontId="2" fillId="0" borderId="6" xfId="0" applyNumberFormat="1" applyFont="1" applyBorder="1"/>
    <xf numFmtId="0" fontId="16" fillId="0" borderId="0" xfId="0" applyFont="1"/>
    <xf numFmtId="0" fontId="2" fillId="0" borderId="24" xfId="0" applyFont="1" applyBorder="1"/>
    <xf numFmtId="0" fontId="2" fillId="0" borderId="12" xfId="0" applyFont="1" applyBorder="1" applyAlignment="1">
      <alignment horizontal="left"/>
    </xf>
    <xf numFmtId="164" fontId="9" fillId="0" borderId="7" xfId="0" applyNumberFormat="1" applyFont="1" applyBorder="1"/>
    <xf numFmtId="0" fontId="30" fillId="3" borderId="18" xfId="0" applyFont="1" applyFill="1" applyBorder="1" applyAlignment="1">
      <alignment horizontal="center" wrapText="1"/>
    </xf>
    <xf numFmtId="49" fontId="1" fillId="0" borderId="18" xfId="0" applyNumberFormat="1" applyFont="1" applyBorder="1"/>
    <xf numFmtId="0" fontId="1" fillId="0" borderId="18" xfId="0" applyFont="1" applyBorder="1"/>
    <xf numFmtId="0" fontId="1" fillId="0" borderId="18" xfId="0" applyFont="1" applyBorder="1" applyAlignment="1">
      <alignment horizontal="center"/>
    </xf>
    <xf numFmtId="0" fontId="31" fillId="3" borderId="13" xfId="0" applyFont="1" applyFill="1" applyBorder="1" applyAlignment="1">
      <alignment horizontal="center" wrapText="1"/>
    </xf>
    <xf numFmtId="0" fontId="32" fillId="4" borderId="16" xfId="0" applyFont="1" applyFill="1" applyBorder="1" applyAlignment="1">
      <alignment horizontal="center" wrapText="1"/>
    </xf>
    <xf numFmtId="0" fontId="1" fillId="4" borderId="14" xfId="0" applyFont="1" applyFill="1" applyBorder="1" applyAlignment="1">
      <alignment horizontal="left"/>
    </xf>
    <xf numFmtId="4" fontId="1" fillId="4" borderId="14" xfId="0" applyNumberFormat="1" applyFont="1" applyFill="1" applyBorder="1" applyAlignment="1">
      <alignment horizontal="center"/>
    </xf>
    <xf numFmtId="4" fontId="1" fillId="4" borderId="15" xfId="0" applyNumberFormat="1" applyFont="1" applyFill="1" applyBorder="1" applyAlignment="1">
      <alignment horizontal="center"/>
    </xf>
    <xf numFmtId="0" fontId="1" fillId="4" borderId="0" xfId="0" applyFont="1" applyFill="1"/>
    <xf numFmtId="164" fontId="9" fillId="0" borderId="8" xfId="0" applyNumberFormat="1" applyFont="1" applyBorder="1"/>
    <xf numFmtId="0" fontId="33" fillId="0" borderId="14" xfId="0" applyFont="1" applyBorder="1" applyAlignment="1">
      <alignment horizontal="left"/>
    </xf>
    <xf numFmtId="0" fontId="2" fillId="0" borderId="10" xfId="0" applyFont="1" applyBorder="1"/>
    <xf numFmtId="0" fontId="16" fillId="0" borderId="9" xfId="0" applyFont="1" applyBorder="1"/>
    <xf numFmtId="165" fontId="2" fillId="0" borderId="9" xfId="0" applyNumberFormat="1" applyFont="1" applyBorder="1"/>
    <xf numFmtId="0" fontId="2" fillId="0" borderId="5" xfId="0" applyFont="1" applyBorder="1" applyAlignment="1">
      <alignment horizontal="left"/>
    </xf>
    <xf numFmtId="165" fontId="2" fillId="0" borderId="2" xfId="0" applyNumberFormat="1" applyFont="1" applyBorder="1" applyAlignment="1">
      <alignment horizontal="center"/>
    </xf>
    <xf numFmtId="165" fontId="2" fillId="0" borderId="8" xfId="0" applyNumberFormat="1" applyFont="1" applyBorder="1"/>
    <xf numFmtId="0" fontId="21" fillId="0" borderId="0" xfId="0" applyFont="1"/>
    <xf numFmtId="164" fontId="9" fillId="0" borderId="1" xfId="0" applyNumberFormat="1" applyFont="1" applyBorder="1"/>
    <xf numFmtId="0" fontId="34" fillId="0" borderId="14" xfId="0" applyFont="1" applyBorder="1" applyAlignment="1">
      <alignment horizontal="left"/>
    </xf>
    <xf numFmtId="0" fontId="35" fillId="0" borderId="14" xfId="0" applyFont="1" applyBorder="1" applyAlignment="1">
      <alignment horizontal="center" wrapText="1"/>
    </xf>
    <xf numFmtId="4" fontId="2" fillId="0" borderId="15" xfId="0" applyNumberFormat="1" applyFont="1" applyBorder="1" applyAlignment="1">
      <alignment horizontal="center"/>
    </xf>
    <xf numFmtId="0" fontId="1" fillId="0" borderId="9" xfId="0" applyFont="1" applyBorder="1" applyAlignment="1">
      <alignment horizontal="center"/>
    </xf>
    <xf numFmtId="0" fontId="12" fillId="2" borderId="5" xfId="0" applyFont="1" applyFill="1" applyBorder="1" applyAlignment="1">
      <alignment wrapText="1"/>
    </xf>
    <xf numFmtId="0" fontId="12" fillId="2" borderId="5" xfId="0" applyFont="1" applyFill="1" applyBorder="1"/>
    <xf numFmtId="0" fontId="36" fillId="0" borderId="14" xfId="0" applyFont="1" applyBorder="1" applyAlignment="1">
      <alignment horizontal="center"/>
    </xf>
    <xf numFmtId="4" fontId="9" fillId="0" borderId="14" xfId="0" applyNumberFormat="1" applyFont="1" applyBorder="1" applyAlignment="1">
      <alignment horizontal="center"/>
    </xf>
    <xf numFmtId="0" fontId="37" fillId="4" borderId="14" xfId="0" applyFont="1" applyFill="1" applyBorder="1" applyAlignment="1">
      <alignment horizontal="center"/>
    </xf>
    <xf numFmtId="0" fontId="9" fillId="4" borderId="13" xfId="0" applyFont="1" applyFill="1" applyBorder="1"/>
    <xf numFmtId="0" fontId="1" fillId="0" borderId="1" xfId="0" applyFont="1" applyBorder="1" applyAlignment="1">
      <alignment horizontal="right"/>
    </xf>
    <xf numFmtId="0" fontId="16" fillId="0" borderId="6" xfId="0" applyFont="1" applyBorder="1"/>
    <xf numFmtId="0" fontId="16" fillId="0" borderId="8" xfId="0" applyFont="1" applyBorder="1" applyAlignment="1">
      <alignment horizontal="left"/>
    </xf>
    <xf numFmtId="0" fontId="16" fillId="0" borderId="1" xfId="0" applyFont="1" applyBorder="1" applyAlignment="1">
      <alignment horizontal="left"/>
    </xf>
    <xf numFmtId="0" fontId="16" fillId="0" borderId="1" xfId="0" applyFont="1" applyBorder="1" applyAlignment="1">
      <alignment horizontal="center"/>
    </xf>
    <xf numFmtId="0" fontId="7" fillId="0" borderId="8" xfId="0" applyFont="1" applyBorder="1" applyAlignment="1">
      <alignment horizontal="left" vertical="center"/>
    </xf>
    <xf numFmtId="0" fontId="38" fillId="4" borderId="13" xfId="0" applyFont="1" applyFill="1" applyBorder="1" applyAlignment="1">
      <alignment horizontal="center" wrapText="1"/>
    </xf>
    <xf numFmtId="0" fontId="1" fillId="0" borderId="9" xfId="0" applyFont="1" applyBorder="1" applyAlignment="1">
      <alignment horizontal="left"/>
    </xf>
    <xf numFmtId="0" fontId="39" fillId="0" borderId="9" xfId="0" applyFont="1" applyBorder="1" applyAlignment="1">
      <alignment horizontal="left" vertical="center"/>
    </xf>
    <xf numFmtId="0" fontId="7" fillId="0" borderId="9" xfId="0" applyFont="1" applyBorder="1" applyAlignment="1">
      <alignment horizontal="left" vertical="center"/>
    </xf>
    <xf numFmtId="0" fontId="2" fillId="4" borderId="13" xfId="0" applyFont="1" applyFill="1" applyBorder="1"/>
    <xf numFmtId="4" fontId="1" fillId="4" borderId="13" xfId="0" applyNumberFormat="1" applyFont="1" applyFill="1" applyBorder="1" applyAlignment="1">
      <alignment horizontal="center"/>
    </xf>
    <xf numFmtId="0" fontId="1" fillId="0" borderId="25" xfId="0" applyFont="1" applyBorder="1" applyAlignment="1">
      <alignment horizontal="center"/>
    </xf>
    <xf numFmtId="0" fontId="1" fillId="0" borderId="15" xfId="0" applyFont="1" applyBorder="1" applyAlignment="1">
      <alignment horizontal="center"/>
    </xf>
    <xf numFmtId="0" fontId="1" fillId="0" borderId="16" xfId="0" applyFont="1" applyBorder="1"/>
    <xf numFmtId="0" fontId="1" fillId="0" borderId="26" xfId="0" applyFont="1" applyBorder="1" applyAlignment="1">
      <alignment horizontal="center"/>
    </xf>
    <xf numFmtId="0" fontId="1" fillId="0" borderId="27" xfId="0" applyFont="1" applyBorder="1" applyAlignment="1">
      <alignment horizontal="center"/>
    </xf>
    <xf numFmtId="0" fontId="1" fillId="0" borderId="15" xfId="0" applyFont="1" applyBorder="1"/>
    <xf numFmtId="0" fontId="21" fillId="0" borderId="13" xfId="0" applyFont="1" applyBorder="1" applyAlignment="1">
      <alignment horizontal="center"/>
    </xf>
    <xf numFmtId="0" fontId="40" fillId="3" borderId="14" xfId="0" applyFont="1" applyFill="1" applyBorder="1" applyAlignment="1">
      <alignment horizontal="center" wrapText="1"/>
    </xf>
    <xf numFmtId="0" fontId="1" fillId="3" borderId="26" xfId="0" applyFont="1" applyFill="1" applyBorder="1" applyAlignment="1">
      <alignment horizontal="left"/>
    </xf>
    <xf numFmtId="0" fontId="41" fillId="3" borderId="18" xfId="0" applyFont="1" applyFill="1" applyBorder="1" applyAlignment="1">
      <alignment horizontal="center" wrapText="1"/>
    </xf>
    <xf numFmtId="0" fontId="1" fillId="3" borderId="28" xfId="0" applyFont="1" applyFill="1" applyBorder="1" applyAlignment="1">
      <alignment horizontal="left"/>
    </xf>
    <xf numFmtId="0" fontId="1" fillId="0" borderId="20" xfId="0" applyFont="1" applyBorder="1"/>
    <xf numFmtId="0" fontId="1" fillId="0" borderId="28" xfId="0" applyFont="1" applyBorder="1" applyAlignment="1">
      <alignment horizontal="center"/>
    </xf>
    <xf numFmtId="0" fontId="42" fillId="0" borderId="13" xfId="0" applyFont="1" applyBorder="1" applyAlignment="1">
      <alignment horizontal="center" wrapText="1"/>
    </xf>
    <xf numFmtId="0" fontId="33" fillId="0" borderId="18" xfId="0" applyFont="1" applyBorder="1" applyAlignment="1">
      <alignment horizontal="left"/>
    </xf>
    <xf numFmtId="4" fontId="9" fillId="0" borderId="29" xfId="0" applyNumberFormat="1" applyFont="1" applyBorder="1" applyAlignment="1">
      <alignment horizontal="center"/>
    </xf>
    <xf numFmtId="0" fontId="9" fillId="0" borderId="29" xfId="0" applyFont="1" applyBorder="1" applyAlignment="1">
      <alignment horizontal="center"/>
    </xf>
    <xf numFmtId="0" fontId="43" fillId="3" borderId="13" xfId="0" applyFont="1" applyFill="1" applyBorder="1" applyAlignment="1">
      <alignment horizontal="center" wrapText="1"/>
    </xf>
    <xf numFmtId="4" fontId="9" fillId="0" borderId="30" xfId="0" applyNumberFormat="1" applyFont="1" applyBorder="1" applyAlignment="1">
      <alignment horizontal="center"/>
    </xf>
    <xf numFmtId="0" fontId="9" fillId="0" borderId="30" xfId="0" applyFont="1" applyBorder="1" applyAlignment="1">
      <alignment horizontal="center"/>
    </xf>
    <xf numFmtId="0" fontId="38" fillId="4" borderId="18" xfId="0" applyFont="1" applyFill="1" applyBorder="1" applyAlignment="1">
      <alignment horizontal="center" wrapText="1"/>
    </xf>
    <xf numFmtId="0" fontId="44" fillId="4" borderId="13" xfId="0" applyFont="1" applyFill="1" applyBorder="1" applyAlignment="1">
      <alignment horizontal="center"/>
    </xf>
    <xf numFmtId="4" fontId="2" fillId="4" borderId="18" xfId="0" applyNumberFormat="1" applyFont="1" applyFill="1" applyBorder="1" applyAlignment="1">
      <alignment horizontal="center"/>
    </xf>
    <xf numFmtId="0" fontId="1" fillId="0" borderId="26" xfId="0" applyFont="1" applyBorder="1" applyAlignment="1">
      <alignment horizontal="left"/>
    </xf>
    <xf numFmtId="0" fontId="45" fillId="0" borderId="18" xfId="0" applyFont="1" applyBorder="1" applyAlignment="1">
      <alignment horizontal="center" wrapText="1"/>
    </xf>
    <xf numFmtId="0" fontId="1" fillId="0" borderId="28" xfId="0" applyFont="1" applyBorder="1" applyAlignment="1">
      <alignment horizontal="left"/>
    </xf>
    <xf numFmtId="4" fontId="1" fillId="0" borderId="25" xfId="0" applyNumberFormat="1" applyFont="1" applyBorder="1" applyAlignment="1">
      <alignment horizontal="center"/>
    </xf>
    <xf numFmtId="4" fontId="1" fillId="3" borderId="31" xfId="0" applyNumberFormat="1" applyFont="1" applyFill="1" applyBorder="1" applyAlignment="1">
      <alignment horizontal="center"/>
    </xf>
    <xf numFmtId="4" fontId="1" fillId="0" borderId="26" xfId="0" applyNumberFormat="1" applyFont="1" applyBorder="1" applyAlignment="1">
      <alignment horizontal="center"/>
    </xf>
    <xf numFmtId="4" fontId="1" fillId="3" borderId="33" xfId="0" applyNumberFormat="1" applyFont="1" applyFill="1" applyBorder="1" applyAlignment="1">
      <alignment horizontal="center"/>
    </xf>
    <xf numFmtId="4" fontId="1" fillId="0" borderId="33" xfId="0" applyNumberFormat="1" applyFont="1" applyBorder="1" applyAlignment="1">
      <alignment horizontal="center"/>
    </xf>
    <xf numFmtId="4" fontId="1" fillId="0" borderId="29" xfId="0" applyNumberFormat="1" applyFont="1" applyBorder="1" applyAlignment="1">
      <alignment horizontal="center"/>
    </xf>
    <xf numFmtId="4" fontId="1" fillId="0" borderId="30" xfId="0" applyNumberFormat="1" applyFont="1" applyBorder="1" applyAlignment="1">
      <alignment horizontal="center"/>
    </xf>
    <xf numFmtId="4" fontId="9" fillId="0" borderId="25" xfId="0" applyNumberFormat="1" applyFont="1" applyBorder="1" applyAlignment="1">
      <alignment horizontal="center"/>
    </xf>
    <xf numFmtId="4" fontId="9" fillId="3" borderId="34" xfId="0" applyNumberFormat="1" applyFont="1" applyFill="1" applyBorder="1" applyAlignment="1">
      <alignment horizontal="center"/>
    </xf>
    <xf numFmtId="4" fontId="9" fillId="0" borderId="26" xfId="0" applyNumberFormat="1" applyFont="1" applyBorder="1" applyAlignment="1">
      <alignment horizontal="center"/>
    </xf>
    <xf numFmtId="4" fontId="9" fillId="3" borderId="35" xfId="0" applyNumberFormat="1" applyFont="1" applyFill="1" applyBorder="1" applyAlignment="1">
      <alignment horizontal="center"/>
    </xf>
    <xf numFmtId="0" fontId="46" fillId="3" borderId="16" xfId="0" applyFont="1" applyFill="1" applyBorder="1" applyAlignment="1">
      <alignment horizontal="center" wrapText="1"/>
    </xf>
    <xf numFmtId="49" fontId="9" fillId="0" borderId="36" xfId="0" applyNumberFormat="1" applyFont="1" applyBorder="1" applyAlignment="1">
      <alignment horizontal="center"/>
    </xf>
    <xf numFmtId="0" fontId="9" fillId="0" borderId="13" xfId="0" applyFont="1" applyBorder="1" applyAlignment="1">
      <alignment horizontal="left" wrapText="1"/>
    </xf>
    <xf numFmtId="4" fontId="2" fillId="3" borderId="14" xfId="0" applyNumberFormat="1" applyFont="1" applyFill="1" applyBorder="1" applyAlignment="1">
      <alignment horizontal="center"/>
    </xf>
    <xf numFmtId="49" fontId="9" fillId="0" borderId="37" xfId="0" applyNumberFormat="1" applyFont="1" applyBorder="1" applyAlignment="1">
      <alignment horizontal="center"/>
    </xf>
    <xf numFmtId="0" fontId="9" fillId="0" borderId="21" xfId="0" applyFont="1" applyBorder="1" applyAlignment="1">
      <alignment horizontal="left" wrapText="1"/>
    </xf>
    <xf numFmtId="0" fontId="1" fillId="0" borderId="9" xfId="0" applyFont="1" applyBorder="1"/>
    <xf numFmtId="0" fontId="9" fillId="0" borderId="9" xfId="0" applyFont="1" applyBorder="1"/>
    <xf numFmtId="0" fontId="9" fillId="0" borderId="11" xfId="0" applyFont="1" applyBorder="1"/>
    <xf numFmtId="0" fontId="9" fillId="0" borderId="12" xfId="0" applyFont="1" applyBorder="1"/>
    <xf numFmtId="4" fontId="1" fillId="0" borderId="32" xfId="0" applyNumberFormat="1" applyFont="1" applyBorder="1" applyAlignment="1">
      <alignment horizontal="center"/>
    </xf>
    <xf numFmtId="49" fontId="1" fillId="0" borderId="32" xfId="0" applyNumberFormat="1" applyFont="1" applyBorder="1"/>
    <xf numFmtId="0" fontId="1" fillId="0" borderId="32" xfId="0" applyFont="1" applyBorder="1"/>
    <xf numFmtId="0" fontId="9" fillId="0" borderId="25" xfId="0" applyFont="1" applyBorder="1"/>
    <xf numFmtId="0" fontId="9" fillId="0" borderId="25" xfId="0" applyFont="1" applyBorder="1" applyAlignment="1">
      <alignment horizontal="left"/>
    </xf>
    <xf numFmtId="0" fontId="1" fillId="0" borderId="26" xfId="0" applyFont="1" applyBorder="1"/>
    <xf numFmtId="49" fontId="1" fillId="0" borderId="30" xfId="0" applyNumberFormat="1" applyFont="1" applyBorder="1"/>
    <xf numFmtId="0" fontId="1" fillId="0" borderId="30" xfId="0" applyFont="1" applyBorder="1"/>
    <xf numFmtId="0" fontId="1" fillId="0" borderId="30" xfId="0" applyFont="1" applyBorder="1" applyAlignment="1">
      <alignment horizontal="left"/>
    </xf>
    <xf numFmtId="0" fontId="47" fillId="0" borderId="30" xfId="0" applyFont="1" applyBorder="1"/>
    <xf numFmtId="0" fontId="47" fillId="0" borderId="30" xfId="0" applyFont="1" applyBorder="1" applyAlignment="1">
      <alignment horizontal="center"/>
    </xf>
    <xf numFmtId="4" fontId="2" fillId="3" borderId="15" xfId="0" applyNumberFormat="1" applyFont="1" applyFill="1" applyBorder="1" applyAlignment="1">
      <alignment horizontal="center"/>
    </xf>
    <xf numFmtId="4" fontId="1" fillId="0" borderId="9" xfId="0" applyNumberFormat="1" applyFont="1" applyBorder="1" applyAlignment="1">
      <alignment horizontal="center"/>
    </xf>
    <xf numFmtId="4" fontId="2" fillId="3" borderId="19" xfId="0" applyNumberFormat="1" applyFont="1" applyFill="1" applyBorder="1" applyAlignment="1">
      <alignment horizontal="center"/>
    </xf>
    <xf numFmtId="0" fontId="48" fillId="4" borderId="18" xfId="0" applyFont="1" applyFill="1" applyBorder="1" applyAlignment="1">
      <alignment horizontal="center" wrapText="1"/>
    </xf>
    <xf numFmtId="0" fontId="49" fillId="4" borderId="13" xfId="0" applyFont="1" applyFill="1" applyBorder="1" applyAlignment="1">
      <alignment horizontal="center"/>
    </xf>
    <xf numFmtId="0" fontId="9" fillId="4" borderId="14" xfId="0" applyFont="1" applyFill="1" applyBorder="1"/>
    <xf numFmtId="0" fontId="1" fillId="4" borderId="18" xfId="0" applyFont="1" applyFill="1" applyBorder="1" applyAlignment="1">
      <alignment horizontal="left"/>
    </xf>
    <xf numFmtId="0" fontId="1" fillId="4" borderId="19" xfId="0" applyFont="1" applyFill="1" applyBorder="1"/>
    <xf numFmtId="0" fontId="1" fillId="0" borderId="19" xfId="0" applyFont="1" applyBorder="1"/>
    <xf numFmtId="0" fontId="50" fillId="3" borderId="14" xfId="0" applyFont="1" applyFill="1" applyBorder="1" applyAlignment="1">
      <alignment horizontal="center" wrapText="1"/>
    </xf>
    <xf numFmtId="4" fontId="9" fillId="0" borderId="12" xfId="0" applyNumberFormat="1" applyFont="1" applyBorder="1"/>
    <xf numFmtId="0" fontId="51" fillId="3" borderId="16" xfId="0" applyFont="1" applyFill="1" applyBorder="1" applyAlignment="1">
      <alignment horizontal="center" wrapText="1"/>
    </xf>
    <xf numFmtId="165" fontId="9" fillId="0" borderId="9" xfId="0" applyNumberFormat="1" applyFont="1" applyBorder="1"/>
    <xf numFmtId="49" fontId="1" fillId="0" borderId="14" xfId="0" applyNumberFormat="1" applyFont="1" applyBorder="1"/>
    <xf numFmtId="0" fontId="52" fillId="3" borderId="20" xfId="0" applyFont="1" applyFill="1" applyBorder="1" applyAlignment="1">
      <alignment horizontal="center" wrapText="1"/>
    </xf>
    <xf numFmtId="0" fontId="33" fillId="0" borderId="13" xfId="0" applyFont="1" applyBorder="1" applyAlignment="1">
      <alignment horizontal="left"/>
    </xf>
    <xf numFmtId="4" fontId="9" fillId="0" borderId="32" xfId="0" applyNumberFormat="1" applyFont="1" applyBorder="1" applyAlignment="1">
      <alignment horizontal="center"/>
    </xf>
    <xf numFmtId="4" fontId="9" fillId="3" borderId="32" xfId="0" applyNumberFormat="1" applyFont="1" applyFill="1" applyBorder="1" applyAlignment="1">
      <alignment horizontal="center"/>
    </xf>
    <xf numFmtId="0" fontId="53" fillId="0" borderId="1" xfId="0" applyFont="1" applyBorder="1"/>
    <xf numFmtId="0" fontId="2" fillId="0" borderId="5" xfId="0" applyFont="1" applyBorder="1" applyAlignment="1">
      <alignment horizontal="center"/>
    </xf>
    <xf numFmtId="0" fontId="2" fillId="0" borderId="5" xfId="0" applyFont="1" applyBorder="1"/>
    <xf numFmtId="0" fontId="2" fillId="0" borderId="23" xfId="0" applyFont="1" applyBorder="1" applyAlignment="1">
      <alignment horizontal="left"/>
    </xf>
    <xf numFmtId="0" fontId="2" fillId="0" borderId="24" xfId="0" applyFont="1" applyBorder="1" applyAlignment="1">
      <alignment horizontal="left"/>
    </xf>
    <xf numFmtId="0" fontId="2" fillId="0" borderId="24" xfId="0" applyFont="1" applyBorder="1" applyAlignment="1">
      <alignment horizontal="center"/>
    </xf>
    <xf numFmtId="165" fontId="2" fillId="0" borderId="24" xfId="0" applyNumberFormat="1" applyFont="1" applyBorder="1" applyAlignment="1">
      <alignment horizontal="center"/>
    </xf>
    <xf numFmtId="0" fontId="11" fillId="0" borderId="8" xfId="0" applyFont="1" applyBorder="1"/>
    <xf numFmtId="4" fontId="9" fillId="3" borderId="13" xfId="0" applyNumberFormat="1" applyFont="1" applyFill="1" applyBorder="1" applyAlignment="1">
      <alignment horizontal="center"/>
    </xf>
    <xf numFmtId="0" fontId="1" fillId="0" borderId="12" xfId="0" applyFont="1" applyBorder="1" applyAlignment="1">
      <alignment horizontal="left"/>
    </xf>
    <xf numFmtId="0" fontId="1" fillId="0" borderId="11" xfId="0" applyFont="1" applyBorder="1" applyAlignment="1">
      <alignment horizontal="center"/>
    </xf>
    <xf numFmtId="4" fontId="9" fillId="0" borderId="27" xfId="0" applyNumberFormat="1" applyFont="1" applyBorder="1" applyAlignment="1">
      <alignment horizontal="center"/>
    </xf>
    <xf numFmtId="4" fontId="9" fillId="0" borderId="38" xfId="0" applyNumberFormat="1" applyFont="1" applyBorder="1" applyAlignment="1">
      <alignment horizontal="center"/>
    </xf>
    <xf numFmtId="0" fontId="9" fillId="0" borderId="21" xfId="0" applyFont="1" applyBorder="1" applyAlignment="1">
      <alignment horizontal="left"/>
    </xf>
    <xf numFmtId="0" fontId="2" fillId="0" borderId="0" xfId="0" applyFont="1" applyAlignment="1">
      <alignment horizontal="left"/>
    </xf>
    <xf numFmtId="0" fontId="2" fillId="0" borderId="22" xfId="0" applyFont="1" applyBorder="1" applyAlignment="1">
      <alignment horizontal="left"/>
    </xf>
    <xf numFmtId="0" fontId="11" fillId="0" borderId="1" xfId="0" applyFont="1" applyBorder="1"/>
    <xf numFmtId="0" fontId="2" fillId="0" borderId="25" xfId="0" applyFont="1" applyBorder="1" applyAlignment="1">
      <alignment horizontal="center"/>
    </xf>
    <xf numFmtId="0" fontId="54" fillId="0" borderId="13" xfId="0" applyFont="1" applyBorder="1" applyAlignment="1">
      <alignment horizontal="left"/>
    </xf>
    <xf numFmtId="0" fontId="55" fillId="0" borderId="13" xfId="0" applyFont="1" applyBorder="1" applyAlignment="1">
      <alignment horizontal="left"/>
    </xf>
    <xf numFmtId="0" fontId="2" fillId="0" borderId="27" xfId="0" applyFont="1" applyBorder="1" applyAlignment="1">
      <alignment horizontal="center"/>
    </xf>
    <xf numFmtId="0" fontId="9" fillId="0" borderId="39" xfId="0" applyFont="1" applyBorder="1"/>
    <xf numFmtId="0" fontId="11" fillId="0" borderId="9" xfId="0" applyFont="1" applyBorder="1"/>
    <xf numFmtId="4" fontId="9" fillId="0" borderId="35" xfId="0" applyNumberFormat="1" applyFont="1" applyBorder="1" applyAlignment="1">
      <alignment horizontal="center"/>
    </xf>
    <xf numFmtId="0" fontId="39" fillId="0" borderId="1" xfId="0" applyFont="1" applyBorder="1" applyAlignment="1">
      <alignment horizontal="left" vertical="center"/>
    </xf>
    <xf numFmtId="0" fontId="12" fillId="2" borderId="3" xfId="0" applyFont="1" applyFill="1" applyBorder="1" applyAlignment="1">
      <alignment horizontal="center" wrapText="1"/>
    </xf>
    <xf numFmtId="0" fontId="57" fillId="3" borderId="15" xfId="0" applyFont="1" applyFill="1" applyBorder="1" applyAlignment="1">
      <alignment horizontal="center" wrapText="1"/>
    </xf>
    <xf numFmtId="0" fontId="1" fillId="0" borderId="13" xfId="0" applyFont="1" applyBorder="1" applyAlignment="1">
      <alignment horizontal="center" wrapText="1"/>
    </xf>
    <xf numFmtId="0" fontId="21" fillId="0" borderId="9" xfId="0" applyFont="1" applyBorder="1" applyAlignment="1">
      <alignment horizontal="left"/>
    </xf>
    <xf numFmtId="0" fontId="21" fillId="0" borderId="9" xfId="0" applyFont="1" applyBorder="1" applyAlignment="1">
      <alignment horizontal="center"/>
    </xf>
    <xf numFmtId="0" fontId="58" fillId="0" borderId="1" xfId="0" applyFont="1" applyBorder="1"/>
    <xf numFmtId="0" fontId="59" fillId="0" borderId="1" xfId="0" applyFont="1" applyBorder="1"/>
    <xf numFmtId="0" fontId="21" fillId="0" borderId="8" xfId="0" applyFont="1" applyBorder="1" applyAlignment="1">
      <alignment horizontal="center"/>
    </xf>
    <xf numFmtId="0" fontId="59" fillId="0" borderId="2" xfId="0" applyFont="1" applyBorder="1"/>
    <xf numFmtId="4" fontId="9" fillId="0" borderId="34" xfId="0" applyNumberFormat="1" applyFont="1" applyBorder="1" applyAlignment="1">
      <alignment horizontal="center"/>
    </xf>
    <xf numFmtId="0" fontId="9" fillId="0" borderId="24" xfId="0" applyFont="1" applyBorder="1"/>
    <xf numFmtId="49" fontId="9" fillId="0" borderId="13" xfId="0" applyNumberFormat="1" applyFont="1" applyBorder="1"/>
    <xf numFmtId="49" fontId="9" fillId="0" borderId="13" xfId="0" applyNumberFormat="1" applyFont="1" applyBorder="1" applyAlignment="1">
      <alignment vertical="top"/>
    </xf>
    <xf numFmtId="0" fontId="9" fillId="0" borderId="13" xfId="0" applyFont="1" applyBorder="1" applyAlignment="1">
      <alignment vertical="top"/>
    </xf>
    <xf numFmtId="49" fontId="9" fillId="0" borderId="13" xfId="0" applyNumberFormat="1" applyFont="1" applyBorder="1" applyAlignment="1">
      <alignment horizontal="left"/>
    </xf>
    <xf numFmtId="4" fontId="1" fillId="0" borderId="31" xfId="0" applyNumberFormat="1" applyFont="1" applyBorder="1" applyAlignment="1">
      <alignment horizontal="center"/>
    </xf>
    <xf numFmtId="0" fontId="9" fillId="4" borderId="0" xfId="0" applyFont="1" applyFill="1" applyAlignment="1">
      <alignment horizontal="left"/>
    </xf>
    <xf numFmtId="4" fontId="1" fillId="4" borderId="18" xfId="0" applyNumberFormat="1" applyFont="1" applyFill="1" applyBorder="1" applyAlignment="1">
      <alignment horizontal="center"/>
    </xf>
    <xf numFmtId="0" fontId="2" fillId="0" borderId="2" xfId="0" applyFont="1" applyBorder="1" applyAlignment="1">
      <alignment vertical="top"/>
    </xf>
    <xf numFmtId="0" fontId="4" fillId="0" borderId="9" xfId="0" applyFont="1" applyBorder="1"/>
    <xf numFmtId="0" fontId="3" fillId="0" borderId="3" xfId="0" applyFont="1" applyBorder="1" applyAlignment="1">
      <alignment horizontal="left" vertical="top" wrapText="1"/>
    </xf>
    <xf numFmtId="0" fontId="4" fillId="0" borderId="4" xfId="0" applyFont="1" applyBorder="1"/>
    <xf numFmtId="0" fontId="4" fillId="0" borderId="5" xfId="0" applyFont="1" applyBorder="1"/>
    <xf numFmtId="0" fontId="4" fillId="0" borderId="10" xfId="0" applyFont="1" applyBorder="1"/>
    <xf numFmtId="0" fontId="4" fillId="0" borderId="11" xfId="0" applyFont="1" applyBorder="1"/>
    <xf numFmtId="0" fontId="4" fillId="0" borderId="12" xfId="0" applyFont="1" applyBorder="1"/>
    <xf numFmtId="0" fontId="5" fillId="0" borderId="6" xfId="0" applyFont="1" applyBorder="1" applyAlignment="1">
      <alignment horizontal="right" vertical="top" wrapText="1"/>
    </xf>
    <xf numFmtId="0" fontId="4" fillId="0" borderId="8" xfId="0" applyFont="1" applyBorder="1"/>
    <xf numFmtId="0" fontId="6" fillId="0" borderId="6" xfId="0" applyFont="1" applyBorder="1" applyAlignment="1">
      <alignment horizontal="right"/>
    </xf>
    <xf numFmtId="0" fontId="2" fillId="0" borderId="6" xfId="0" applyFont="1" applyBorder="1" applyAlignment="1">
      <alignment horizontal="left"/>
    </xf>
    <xf numFmtId="0" fontId="4" fillId="0" borderId="7" xfId="0" applyFont="1" applyBorder="1"/>
    <xf numFmtId="0" fontId="56" fillId="0" borderId="3" xfId="0" applyFont="1" applyBorder="1" applyAlignment="1">
      <alignment horizontal="left" vertical="center"/>
    </xf>
    <xf numFmtId="2" fontId="12" fillId="2" borderId="4" xfId="0" applyNumberFormat="1" applyFont="1" applyFill="1" applyBorder="1" applyAlignment="1">
      <alignment horizontal="center" wrapText="1"/>
    </xf>
    <xf numFmtId="4" fontId="9" fillId="0" borderId="15" xfId="0" applyNumberFormat="1" applyFont="1" applyBorder="1" applyAlignment="1">
      <alignment horizontal="center"/>
    </xf>
    <xf numFmtId="0" fontId="4" fillId="0" borderId="25" xfId="0" applyFont="1" applyBorder="1"/>
    <xf numFmtId="0" fontId="34" fillId="0" borderId="6" xfId="0" applyFont="1" applyBorder="1" applyAlignment="1">
      <alignment horizontal="left" vertical="center" wrapText="1"/>
    </xf>
    <xf numFmtId="0" fontId="12" fillId="2" borderId="3" xfId="0" applyFont="1" applyFill="1" applyBorder="1" applyAlignment="1">
      <alignment wrapText="1"/>
    </xf>
    <xf numFmtId="0" fontId="1" fillId="0" borderId="40" xfId="0" applyFont="1" applyBorder="1"/>
    <xf numFmtId="0" fontId="4" fillId="0" borderId="41" xfId="0" applyFont="1" applyBorder="1"/>
    <xf numFmtId="4" fontId="9" fillId="0" borderId="40" xfId="0" applyNumberFormat="1" applyFont="1" applyBorder="1" applyAlignment="1">
      <alignment horizontal="center"/>
    </xf>
    <xf numFmtId="0" fontId="4" fillId="0" borderId="32" xfId="0" applyFont="1" applyBorder="1"/>
    <xf numFmtId="0" fontId="1" fillId="0" borderId="15" xfId="0" applyFont="1" applyBorder="1" applyAlignment="1">
      <alignment wrapText="1"/>
    </xf>
    <xf numFmtId="0" fontId="4" fillId="0" borderId="34" xfId="0" applyFont="1" applyBorder="1"/>
    <xf numFmtId="0" fontId="1" fillId="0" borderId="42" xfId="0" applyFont="1" applyBorder="1" applyAlignment="1">
      <alignment wrapText="1"/>
    </xf>
    <xf numFmtId="0" fontId="4" fillId="0" borderId="43" xfId="0" applyFont="1" applyBorder="1"/>
    <xf numFmtId="0" fontId="4" fillId="0" borderId="44" xfId="0" applyFont="1" applyBorder="1"/>
    <xf numFmtId="2" fontId="12" fillId="2" borderId="3" xfId="0" applyNumberFormat="1" applyFont="1" applyFill="1" applyBorder="1" applyAlignment="1">
      <alignment horizontal="center" wrapText="1"/>
    </xf>
    <xf numFmtId="0" fontId="1" fillId="0" borderId="15" xfId="0" applyFont="1" applyBorder="1"/>
    <xf numFmtId="2" fontId="9" fillId="0" borderId="40" xfId="0" applyNumberFormat="1" applyFont="1" applyBorder="1" applyAlignment="1">
      <alignment horizontal="center"/>
    </xf>
    <xf numFmtId="4" fontId="9" fillId="0" borderId="34" xfId="0" applyNumberFormat="1" applyFont="1" applyBorder="1" applyAlignment="1">
      <alignment horizontal="center"/>
    </xf>
    <xf numFmtId="0" fontId="7" fillId="0" borderId="3" xfId="0" applyFont="1" applyBorder="1" applyAlignment="1">
      <alignment horizontal="left" vertical="center"/>
    </xf>
    <xf numFmtId="0" fontId="8" fillId="0" borderId="6" xfId="0" applyFont="1" applyBorder="1" applyAlignment="1">
      <alignment wrapText="1"/>
    </xf>
    <xf numFmtId="0" fontId="7" fillId="0" borderId="22" xfId="0" applyFont="1" applyBorder="1" applyAlignment="1">
      <alignment horizontal="left" vertical="center"/>
    </xf>
    <xf numFmtId="0" fontId="0" fillId="0" borderId="0" xfId="0"/>
    <xf numFmtId="0" fontId="4" fillId="0" borderId="23" xfId="0" applyFont="1" applyBorder="1"/>
    <xf numFmtId="0" fontId="7" fillId="0" borderId="10" xfId="0" applyFont="1" applyBorder="1" applyAlignment="1">
      <alignment horizontal="left" vertical="center"/>
    </xf>
    <xf numFmtId="0" fontId="16" fillId="0" borderId="3" xfId="0" applyFont="1" applyBorder="1" applyAlignment="1">
      <alignment wrapText="1"/>
    </xf>
    <xf numFmtId="0" fontId="4" fillId="0" borderId="22" xfId="0" applyFont="1" applyBorder="1"/>
    <xf numFmtId="0" fontId="2" fillId="0" borderId="3" xfId="0" applyFont="1" applyBorder="1"/>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723900" cy="1428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962025" cy="1905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xdr:row>
      <xdr:rowOff>0</xdr:rowOff>
    </xdr:from>
    <xdr:ext cx="962025" cy="1905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962025" cy="190500"/>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962025" cy="19050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xdr:row>
      <xdr:rowOff>0</xdr:rowOff>
    </xdr:from>
    <xdr:ext cx="885825" cy="171450"/>
    <xdr:pic>
      <xdr:nvPicPr>
        <xdr:cNvPr id="2" name="image4.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257175</xdr:colOff>
      <xdr:row>56</xdr:row>
      <xdr:rowOff>47625</xdr:rowOff>
    </xdr:from>
    <xdr:ext cx="10534650" cy="771525"/>
    <xdr:pic>
      <xdr:nvPicPr>
        <xdr:cNvPr id="2" name="image11.jpg" title="Зображення">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190500</xdr:colOff>
      <xdr:row>288</xdr:row>
      <xdr:rowOff>114300</xdr:rowOff>
    </xdr:from>
    <xdr:ext cx="11029950" cy="1743075"/>
    <xdr:pic>
      <xdr:nvPicPr>
        <xdr:cNvPr id="3" name="image5.jpg" title="Зображення">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257175</xdr:colOff>
      <xdr:row>126</xdr:row>
      <xdr:rowOff>95250</xdr:rowOff>
    </xdr:from>
    <xdr:ext cx="11144250" cy="942975"/>
    <xdr:pic>
      <xdr:nvPicPr>
        <xdr:cNvPr id="4" name="image9.jpg" title="Зображення">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xdr:row>
      <xdr:rowOff>0</xdr:rowOff>
    </xdr:from>
    <xdr:ext cx="962025" cy="190500"/>
    <xdr:pic>
      <xdr:nvPicPr>
        <xdr:cNvPr id="5" name="image1.png">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68</xdr:row>
      <xdr:rowOff>0</xdr:rowOff>
    </xdr:from>
    <xdr:ext cx="962025" cy="142875"/>
    <xdr:pic>
      <xdr:nvPicPr>
        <xdr:cNvPr id="6" name="image8.png">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176</xdr:row>
      <xdr:rowOff>0</xdr:rowOff>
    </xdr:from>
    <xdr:ext cx="962025" cy="142875"/>
    <xdr:pic>
      <xdr:nvPicPr>
        <xdr:cNvPr id="7" name="image7.png">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307</xdr:row>
      <xdr:rowOff>0</xdr:rowOff>
    </xdr:from>
    <xdr:ext cx="962025" cy="142875"/>
    <xdr:pic>
      <xdr:nvPicPr>
        <xdr:cNvPr id="8" name="image8.png">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xdr:row>
      <xdr:rowOff>0</xdr:rowOff>
    </xdr:from>
    <xdr:ext cx="962025" cy="190500"/>
    <xdr:pic>
      <xdr:nvPicPr>
        <xdr:cNvPr id="2" name="image6.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0IUF4Sdofy8BTb0g2XeLC21JmXbOEPOI/view?usp=drive_link" TargetMode="External"/><Relationship Id="rId21" Type="http://schemas.openxmlformats.org/officeDocument/2006/relationships/hyperlink" Target="https://drive.google.com/file/d/1q1dbCKDeo0RFs6hklFN15_OIIxA5jHVN/view?usp=drive_link" TargetMode="External"/><Relationship Id="rId42" Type="http://schemas.openxmlformats.org/officeDocument/2006/relationships/hyperlink" Target="https://drive.google.com/drive/folders/1-Wg7LMJOulyq2NQxG6SHTlRQQSqf4leS?usp=drive_link" TargetMode="External"/><Relationship Id="rId47" Type="http://schemas.openxmlformats.org/officeDocument/2006/relationships/hyperlink" Target="https://drive.google.com/file/d/1bsfyDuhcmcZO1IDIyNEMh4WpudR_DVIB/view?usp=drive_link" TargetMode="External"/><Relationship Id="rId63" Type="http://schemas.openxmlformats.org/officeDocument/2006/relationships/hyperlink" Target="https://drive.google.com/drive/folders/1jbX4uUi6IuIqj8k1HTKQV-h-cn_3kry8?usp=drive_link" TargetMode="External"/><Relationship Id="rId68" Type="http://schemas.openxmlformats.org/officeDocument/2006/relationships/hyperlink" Target="https://drive.google.com/file/d/18OfJGrj5lRTd6RmrH56vlMq9Oy3vsoMh/view?usp=drive_link" TargetMode="External"/><Relationship Id="rId84" Type="http://schemas.openxmlformats.org/officeDocument/2006/relationships/hyperlink" Target="https://drive.google.com/file/d/1PH6jD7FhVWVF1tWfo1uBPZ7-nkepgD0V/view?usp=drive_link" TargetMode="External"/><Relationship Id="rId89" Type="http://schemas.openxmlformats.org/officeDocument/2006/relationships/hyperlink" Target="https://drive.google.com/drive/folders/1kOV1LALdiH2u0APUruWZLuvGiA00u3zI?usp=drive_link" TargetMode="External"/><Relationship Id="rId112" Type="http://schemas.openxmlformats.org/officeDocument/2006/relationships/hyperlink" Target="https://drive.google.com/file/d/15xXjAi7EfrSztvvI7w_OEvR8eu1JqmZs/view?usp=drive_link" TargetMode="External"/><Relationship Id="rId16" Type="http://schemas.openxmlformats.org/officeDocument/2006/relationships/hyperlink" Target="https://drive.google.com/drive/folders/1GjCipo2RzaFsx4Bj1tdkXX-ZoMo5wqTj?usp=drive_link" TargetMode="External"/><Relationship Id="rId107" Type="http://schemas.openxmlformats.org/officeDocument/2006/relationships/hyperlink" Target="https://drive.google.com/file/d/1CJGIFtqtaB1K427Fff6sE7AF1XU0D5br/view?usp=drive_link" TargetMode="External"/><Relationship Id="rId11" Type="http://schemas.openxmlformats.org/officeDocument/2006/relationships/hyperlink" Target="https://drive.google.com/drive/folders/1uEAnMkyiM08imshs6J9PWOtMPBQWG9fi?usp=drive_link" TargetMode="External"/><Relationship Id="rId32" Type="http://schemas.openxmlformats.org/officeDocument/2006/relationships/hyperlink" Target="https://drive.google.com/file/d/1eCPdhb0wOgMjOVZnK7NCrxg2vCr_E-7_/view?usp=drive_link" TargetMode="External"/><Relationship Id="rId37" Type="http://schemas.openxmlformats.org/officeDocument/2006/relationships/hyperlink" Target="https://drive.google.com/file/d/1g0dqw7_v-b-IMtthGi3Ym6SurzMpOPAW/view?usp=drive_link" TargetMode="External"/><Relationship Id="rId53" Type="http://schemas.openxmlformats.org/officeDocument/2006/relationships/hyperlink" Target="https://drive.google.com/file/d/1Jk844SAFflZ6wYZz1oZSjTTaivj3FghH/view?usp=drive_link" TargetMode="External"/><Relationship Id="rId58" Type="http://schemas.openxmlformats.org/officeDocument/2006/relationships/hyperlink" Target="https://drive.google.com/drive/u/0/folders/1eJFqL-xSiPXbotmD5Bvr5TL0EmX1aU2K" TargetMode="External"/><Relationship Id="rId74" Type="http://schemas.openxmlformats.org/officeDocument/2006/relationships/hyperlink" Target="https://drive.google.com/file/d/1yOW2I8Ee-UzU4Jslp1jRgcpC7PRtflWm/view?usp=drive_link" TargetMode="External"/><Relationship Id="rId79" Type="http://schemas.openxmlformats.org/officeDocument/2006/relationships/hyperlink" Target="https://drive.google.com/file/d/1uAMf9vVVXHRfltQBTRPrRvM06hW3wcQ0/view?usp=drive_link" TargetMode="External"/><Relationship Id="rId102" Type="http://schemas.openxmlformats.org/officeDocument/2006/relationships/hyperlink" Target="https://drive.google.com/drive/folders/1qeSA0Msf8seWEBsav3NOXSgR6XwyCY4J?usp=drive_link" TargetMode="External"/><Relationship Id="rId123" Type="http://schemas.openxmlformats.org/officeDocument/2006/relationships/hyperlink" Target="https://drive.google.com/file/d/1LmDX2vlIXVKIvu9A7yvdEfMbKV_KkBeK/view?usp=drive_link" TargetMode="External"/><Relationship Id="rId128" Type="http://schemas.openxmlformats.org/officeDocument/2006/relationships/hyperlink" Target="https://drive.google.com/drive/folders/1o6S5FGARS5iGuR4C0TQrR9cQ1iszwhhM?usp=drive_link" TargetMode="External"/><Relationship Id="rId5" Type="http://schemas.openxmlformats.org/officeDocument/2006/relationships/hyperlink" Target="https://drive.google.com/file/d/1kHQQB3v_owAOQUeSjkdaJdHQIU2rACD7/view?usp=drive_link" TargetMode="External"/><Relationship Id="rId90" Type="http://schemas.openxmlformats.org/officeDocument/2006/relationships/hyperlink" Target="https://drive.google.com/file/d/18oJy2u0vT1Vcx-qMg3kCYTkZnA9D4793/view?usp=drive_link" TargetMode="External"/><Relationship Id="rId95" Type="http://schemas.openxmlformats.org/officeDocument/2006/relationships/hyperlink" Target="https://drive.google.com/file/d/1aJQmKKLbKnDVqY-B3HhFiewPaRlQc61l/view?usp=drive_link" TargetMode="External"/><Relationship Id="rId22" Type="http://schemas.openxmlformats.org/officeDocument/2006/relationships/hyperlink" Target="https://drive.google.com/file/d/1895ClFW4PElBQIwK7zT32qdEOe7_ECrP/view?usp=drive_link" TargetMode="External"/><Relationship Id="rId27" Type="http://schemas.openxmlformats.org/officeDocument/2006/relationships/hyperlink" Target="https://drive.google.com/file/d/1iu2qWADnTtZteQRRRrIZkRWVbCvqn7mf/view?usp=drive_link" TargetMode="External"/><Relationship Id="rId43" Type="http://schemas.openxmlformats.org/officeDocument/2006/relationships/hyperlink" Target="https://drive.google.com/drive/folders/10VlUfRK6xwtuM9-f-bp2M2i2sWIJ8KR5?usp=drive_link" TargetMode="External"/><Relationship Id="rId48" Type="http://schemas.openxmlformats.org/officeDocument/2006/relationships/hyperlink" Target="https://drive.google.com/file/d/1bsfyDuhcmcZO1IDIyNEMh4WpudR_DVIB/view?usp=drive_link" TargetMode="External"/><Relationship Id="rId64" Type="http://schemas.openxmlformats.org/officeDocument/2006/relationships/hyperlink" Target="https://drive.google.com/drive/folders/1jbX4uUi6IuIqj8k1HTKQV-h-cn_3kry8?usp=drive_link" TargetMode="External"/><Relationship Id="rId69" Type="http://schemas.openxmlformats.org/officeDocument/2006/relationships/hyperlink" Target="https://drive.google.com/file/d/1YinlU_HvkVcKE97K7Fe6Z76lRzzH8GJX/view?usp=drive_link" TargetMode="External"/><Relationship Id="rId113" Type="http://schemas.openxmlformats.org/officeDocument/2006/relationships/hyperlink" Target="https://drive.google.com/file/d/15xXjAi7EfrSztvvI7w_OEvR8eu1JqmZs/view?usp=drive_link" TargetMode="External"/><Relationship Id="rId118" Type="http://schemas.openxmlformats.org/officeDocument/2006/relationships/hyperlink" Target="https://drive.google.com/file/d/1Hi7MuEVcOjPe9N0pmGJEo6HFQbDME7Vc/view?usp=drive_link" TargetMode="External"/><Relationship Id="rId80" Type="http://schemas.openxmlformats.org/officeDocument/2006/relationships/hyperlink" Target="https://drive.google.com/drive/folders/19uCGJgkwJR_oI-LVYf9mI1EM38WRGvDQ?usp=drive_link" TargetMode="External"/><Relationship Id="rId85" Type="http://schemas.openxmlformats.org/officeDocument/2006/relationships/hyperlink" Target="https://drive.google.com/file/d/1PH6jD7FhVWVF1tWfo1uBPZ7-nkepgD0V/view?usp=drive_link" TargetMode="External"/><Relationship Id="rId12" Type="http://schemas.openxmlformats.org/officeDocument/2006/relationships/hyperlink" Target="https://drive.google.com/drive/folders/10jOVuXksAmGBwiEycQ1w2_q81aRBfQVm?usp=sharing" TargetMode="External"/><Relationship Id="rId17" Type="http://schemas.openxmlformats.org/officeDocument/2006/relationships/hyperlink" Target="https://drive.google.com/drive/folders/1GjCipo2RzaFsx4Bj1tdkXX-ZoMo5wqTj?usp=drive_link" TargetMode="External"/><Relationship Id="rId33" Type="http://schemas.openxmlformats.org/officeDocument/2006/relationships/hyperlink" Target="https://drive.google.com/file/d/1eCPdhb0wOgMjOVZnK7NCrxg2vCr_E-7_/view?usp=drive_link" TargetMode="External"/><Relationship Id="rId38" Type="http://schemas.openxmlformats.org/officeDocument/2006/relationships/hyperlink" Target="https://drive.google.com/file/d/1_d0O0L2x6euJS42nUVg8LX7x8h7bBv-y/view?usp=drive_link" TargetMode="External"/><Relationship Id="rId59" Type="http://schemas.openxmlformats.org/officeDocument/2006/relationships/hyperlink" Target="https://drive.google.com/file/d/1wn3eE5ZgMb0PCGOoZbnw3VJy_e6uEOUX/view?usp=drive_link" TargetMode="External"/><Relationship Id="rId103" Type="http://schemas.openxmlformats.org/officeDocument/2006/relationships/hyperlink" Target="https://drive.google.com/drive/folders/1qeSA0Msf8seWEBsav3NOXSgR6XwyCY4J?usp=drive_link" TargetMode="External"/><Relationship Id="rId108" Type="http://schemas.openxmlformats.org/officeDocument/2006/relationships/hyperlink" Target="https://drive.google.com/drive/folders/1cm4RLrI5RxLBVxcpblTcGH34s7E6GHb6?usp=drive_link" TargetMode="External"/><Relationship Id="rId124" Type="http://schemas.openxmlformats.org/officeDocument/2006/relationships/hyperlink" Target="https://drive.google.com/file/d/1LmDX2vlIXVKIvu9A7yvdEfMbKV_KkBeK/view?usp=drive_link" TargetMode="External"/><Relationship Id="rId129" Type="http://schemas.openxmlformats.org/officeDocument/2006/relationships/drawing" Target="../drawings/drawing1.xml"/><Relationship Id="rId54" Type="http://schemas.openxmlformats.org/officeDocument/2006/relationships/hyperlink" Target="https://drive.google.com/file/d/1Jk844SAFflZ6wYZz1oZSjTTaivj3FghH/view?usp=drive_link" TargetMode="External"/><Relationship Id="rId70" Type="http://schemas.openxmlformats.org/officeDocument/2006/relationships/hyperlink" Target="https://drive.google.com/file/d/1YinlU_HvkVcKE97K7Fe6Z76lRzzH8GJX/view?usp=drive_link" TargetMode="External"/><Relationship Id="rId75" Type="http://schemas.openxmlformats.org/officeDocument/2006/relationships/hyperlink" Target="https://drive.google.com/file/d/1sS8bjhl2G2vdv8l8n8lO5AJlQFDo8hAv/view?usp=drive_link" TargetMode="External"/><Relationship Id="rId91" Type="http://schemas.openxmlformats.org/officeDocument/2006/relationships/hyperlink" Target="https://drive.google.com/file/d/18oJy2u0vT1Vcx-qMg3kCYTkZnA9D4793/view?usp=drive_link" TargetMode="External"/><Relationship Id="rId96" Type="http://schemas.openxmlformats.org/officeDocument/2006/relationships/hyperlink" Target="https://drive.google.com/drive/folders/1kOV1LALdiH2u0APUruWZLuvGiA00u3zI?usp=drive_link" TargetMode="External"/><Relationship Id="rId1" Type="http://schemas.openxmlformats.org/officeDocument/2006/relationships/hyperlink" Target="https://drive.google.com/file/d/1kHQQB3v_owAOQUeSjkdaJdHQIU2rACD7/view?usp=drive_link" TargetMode="External"/><Relationship Id="rId6" Type="http://schemas.openxmlformats.org/officeDocument/2006/relationships/hyperlink" Target="https://drive.google.com/drive/folders/1szkMvKU_MuaNcoKWGBSN6-x9KvMY0bKL?usp=drive_link" TargetMode="External"/><Relationship Id="rId23" Type="http://schemas.openxmlformats.org/officeDocument/2006/relationships/hyperlink" Target="https://drive.google.com/file/d/1895ClFW4PElBQIwK7zT32qdEOe7_ECrP/view?usp=drive_link" TargetMode="External"/><Relationship Id="rId28" Type="http://schemas.openxmlformats.org/officeDocument/2006/relationships/hyperlink" Target="https://drive.google.com/file/d/1e8dcMVjDFxs1iNRpxviddoO075Zr5O_C/view?usp=drive_link" TargetMode="External"/><Relationship Id="rId49" Type="http://schemas.openxmlformats.org/officeDocument/2006/relationships/hyperlink" Target="https://drive.google.com/file/d/1hVgdOv1GPU5Gz0-4sls2iwtnfmV-mP4n/view?usp=drive_link" TargetMode="External"/><Relationship Id="rId114" Type="http://schemas.openxmlformats.org/officeDocument/2006/relationships/hyperlink" Target="https://drive.google.com/file/d/1V2E5HkrEJ9NN6J6fgwyjNDlWfQx93SCu/view?usp=drive_link" TargetMode="External"/><Relationship Id="rId119" Type="http://schemas.openxmlformats.org/officeDocument/2006/relationships/hyperlink" Target="https://drive.google.com/file/d/1McorkcBtnVtXdRDoI_WUfc4Ppw3RfMzs/view?usp=drive_link" TargetMode="External"/><Relationship Id="rId44" Type="http://schemas.openxmlformats.org/officeDocument/2006/relationships/hyperlink" Target="https://drive.google.com/drive/folders/10VlUfRK6xwtuM9-f-bp2M2i2sWIJ8KR5?usp=drive_link" TargetMode="External"/><Relationship Id="rId60" Type="http://schemas.openxmlformats.org/officeDocument/2006/relationships/hyperlink" Target="https://drive.google.com/file/d/1wn3eE5ZgMb0PCGOoZbnw3VJy_e6uEOUX/view?usp=drive_link" TargetMode="External"/><Relationship Id="rId65" Type="http://schemas.openxmlformats.org/officeDocument/2006/relationships/hyperlink" Target="https://drive.google.com/file/d/1e4Sco6ms_z4YQGEB08S5dlMQWTb7PmwK/view?usp=drive_link" TargetMode="External"/><Relationship Id="rId81" Type="http://schemas.openxmlformats.org/officeDocument/2006/relationships/hyperlink" Target="https://drive.google.com/drive/folders/19uCGJgkwJR_oI-LVYf9mI1EM38WRGvDQ?usp=drive_link" TargetMode="External"/><Relationship Id="rId86" Type="http://schemas.openxmlformats.org/officeDocument/2006/relationships/hyperlink" Target="https://drive.google.com/file/d/1NP6pDzvPvf5mBRUo8A1AqmXohABNB2bz/view?usp=drive_link" TargetMode="External"/><Relationship Id="rId13" Type="http://schemas.openxmlformats.org/officeDocument/2006/relationships/hyperlink" Target="https://drive.google.com/drive/folders/10jOVuXksAmGBwiEycQ1w2_q81aRBfQVm?usp=sharing" TargetMode="External"/><Relationship Id="rId18" Type="http://schemas.openxmlformats.org/officeDocument/2006/relationships/hyperlink" Target="https://drive.google.com/drive/folders/1GjCipo2RzaFsx4Bj1tdkXX-ZoMo5wqTj?usp=drive_link" TargetMode="External"/><Relationship Id="rId39" Type="http://schemas.openxmlformats.org/officeDocument/2006/relationships/hyperlink" Target="https://drive.google.com/file/d/1_d0O0L2x6euJS42nUVg8LX7x8h7bBv-y/view?usp=drive_link" TargetMode="External"/><Relationship Id="rId109" Type="http://schemas.openxmlformats.org/officeDocument/2006/relationships/hyperlink" Target="https://drive.google.com/drive/folders/1fGv53MC4U59Re8s7eQLy1PI8cb-_7uSw?usp=drive_link" TargetMode="External"/><Relationship Id="rId34" Type="http://schemas.openxmlformats.org/officeDocument/2006/relationships/hyperlink" Target="https://drive.google.com/file/d/19SN0ISqVy0lu0knEaSviIZJWVlm4OW4g/view?usp=drive_link" TargetMode="External"/><Relationship Id="rId50" Type="http://schemas.openxmlformats.org/officeDocument/2006/relationships/hyperlink" Target="https://drive.google.com/file/d/1hVgdOv1GPU5Gz0-4sls2iwtnfmV-mP4n/view?usp=drive_link" TargetMode="External"/><Relationship Id="rId55" Type="http://schemas.openxmlformats.org/officeDocument/2006/relationships/hyperlink" Target="https://drive.google.com/file/d/1n7biVOePwHP-j-68NEJxElY3ktY1SBmY/view?usp=drive_link" TargetMode="External"/><Relationship Id="rId76" Type="http://schemas.openxmlformats.org/officeDocument/2006/relationships/hyperlink" Target="https://drive.google.com/file/d/1sS8bjhl2G2vdv8l8n8lO5AJlQFDo8hAv/view?usp=drive_link" TargetMode="External"/><Relationship Id="rId97" Type="http://schemas.openxmlformats.org/officeDocument/2006/relationships/hyperlink" Target="https://drive.google.com/drive/folders/1kOV1LALdiH2u0APUruWZLuvGiA00u3zI?usp=drive_link" TargetMode="External"/><Relationship Id="rId104" Type="http://schemas.openxmlformats.org/officeDocument/2006/relationships/hyperlink" Target="https://drive.google.com/file/d/1K6qma71wNeDS6U2OJRchCQ5CGIMkyCig/view?usp=drive_link" TargetMode="External"/><Relationship Id="rId120" Type="http://schemas.openxmlformats.org/officeDocument/2006/relationships/hyperlink" Target="https://drive.google.com/file/d/1McorkcBtnVtXdRDoI_WUfc4Ppw3RfMzs/view?usp=drive_link" TargetMode="External"/><Relationship Id="rId125" Type="http://schemas.openxmlformats.org/officeDocument/2006/relationships/hyperlink" Target="https://drive.google.com/file/d/1Fa9PdBIrudTDLgD5BoHNi7GFHmnd9Eh7/view?usp=drive_link" TargetMode="External"/><Relationship Id="rId7" Type="http://schemas.openxmlformats.org/officeDocument/2006/relationships/hyperlink" Target="https://drive.google.com/drive/folders/1szkMvKU_MuaNcoKWGBSN6-x9KvMY0bKL?usp=drive_link" TargetMode="External"/><Relationship Id="rId71" Type="http://schemas.openxmlformats.org/officeDocument/2006/relationships/hyperlink" Target="https://drive.google.com/file/d/1zoujmPucbZPTOFz2rA6-TpLd229wxUDp/view?usp=drive_link" TargetMode="External"/><Relationship Id="rId92" Type="http://schemas.openxmlformats.org/officeDocument/2006/relationships/hyperlink" Target="https://drive.google.com/file/d/1ZiTIIcNQacwCz56KCaQnVj7JAByxvu_9/view?usp=drive_link" TargetMode="External"/><Relationship Id="rId2" Type="http://schemas.openxmlformats.org/officeDocument/2006/relationships/hyperlink" Target="https://drive.google.com/file/d/1kHQQB3v_owAOQUeSjkdaJdHQIU2rACD7/view?usp=drive_link" TargetMode="External"/><Relationship Id="rId29" Type="http://schemas.openxmlformats.org/officeDocument/2006/relationships/hyperlink" Target="https://drive.google.com/file/d/1e8dcMVjDFxs1iNRpxviddoO075Zr5O_C/view?usp=drive_link" TargetMode="External"/><Relationship Id="rId24" Type="http://schemas.openxmlformats.org/officeDocument/2006/relationships/hyperlink" Target="https://drive.google.com/file/d/1aC88oQsSbD3D7X9wOQ2IsFrKnXiCz1BD/view?usp=drive_link" TargetMode="External"/><Relationship Id="rId40" Type="http://schemas.openxmlformats.org/officeDocument/2006/relationships/hyperlink" Target="https://drive.google.com/file/d/1Fkh7ecCXt9NmpDQYtD2ZK-84msArgbWO/view?usp=drive_link" TargetMode="External"/><Relationship Id="rId45" Type="http://schemas.openxmlformats.org/officeDocument/2006/relationships/hyperlink" Target="https://drive.google.com/file/d/16osbZ4VGvisOO7oviZOHNjDlNNvJn3xY/view?usp=drive_link" TargetMode="External"/><Relationship Id="rId66" Type="http://schemas.openxmlformats.org/officeDocument/2006/relationships/hyperlink" Target="https://drive.google.com/file/d/1e4Sco6ms_z4YQGEB08S5dlMQWTb7PmwK/view?usp=drive_link" TargetMode="External"/><Relationship Id="rId87" Type="http://schemas.openxmlformats.org/officeDocument/2006/relationships/hyperlink" Target="https://drive.google.com/file/d/1NP6pDzvPvf5mBRUo8A1AqmXohABNB2bz/view?usp=drive_link" TargetMode="External"/><Relationship Id="rId110" Type="http://schemas.openxmlformats.org/officeDocument/2006/relationships/hyperlink" Target="https://drive.google.com/drive/folders/1fGv53MC4U59Re8s7eQLy1PI8cb-_7uSw?usp=drive_link" TargetMode="External"/><Relationship Id="rId115" Type="http://schemas.openxmlformats.org/officeDocument/2006/relationships/hyperlink" Target="https://drive.google.com/file/d/1V2E5HkrEJ9NN6J6fgwyjNDlWfQx93SCu/view?usp=drive_link" TargetMode="External"/><Relationship Id="rId61" Type="http://schemas.openxmlformats.org/officeDocument/2006/relationships/hyperlink" Target="https://drive.google.com/drive/folders/1DqMotvQuDZhgOzCG7gyeUKcDsxP23fJ5?usp=drive_link" TargetMode="External"/><Relationship Id="rId82" Type="http://schemas.openxmlformats.org/officeDocument/2006/relationships/hyperlink" Target="https://drive.google.com/drive/folders/1QLELgg-OMZ3pfNMHD6o1mHi_LtnLnfXX?usp=drive_link" TargetMode="External"/><Relationship Id="rId19" Type="http://schemas.openxmlformats.org/officeDocument/2006/relationships/hyperlink" Target="https://drive.google.com/drive/folders/1GjCipo2RzaFsx4Bj1tdkXX-ZoMo5wqTj?usp=drive_link" TargetMode="External"/><Relationship Id="rId14" Type="http://schemas.openxmlformats.org/officeDocument/2006/relationships/hyperlink" Target="https://drive.google.com/drive/folders/1vCWivNCIIh3X3rzV6vahHageemAzBI17?usp=drive_link" TargetMode="External"/><Relationship Id="rId30" Type="http://schemas.openxmlformats.org/officeDocument/2006/relationships/hyperlink" Target="https://drive.google.com/drive/folders/1C3D3I8XcAEnPa9Js0XEWIbIADMqq8z2S?usp=drive_link" TargetMode="External"/><Relationship Id="rId35" Type="http://schemas.openxmlformats.org/officeDocument/2006/relationships/hyperlink" Target="https://drive.google.com/file/d/19SN0ISqVy0lu0knEaSviIZJWVlm4OW4g/view?usp=drive_link" TargetMode="External"/><Relationship Id="rId56" Type="http://schemas.openxmlformats.org/officeDocument/2006/relationships/hyperlink" Target="https://drive.google.com/file/d/1n7biVOePwHP-j-68NEJxElY3ktY1SBmY/view?usp=drive_link" TargetMode="External"/><Relationship Id="rId77" Type="http://schemas.openxmlformats.org/officeDocument/2006/relationships/hyperlink" Target="https://drive.google.com/file/d/1uAMf9vVVXHRfltQBTRPrRvM06hW3wcQ0/view?usp=drive_link" TargetMode="External"/><Relationship Id="rId100" Type="http://schemas.openxmlformats.org/officeDocument/2006/relationships/hyperlink" Target="https://drive.google.com/drive/folders/1AL0kKRBETIr-FcW2UJxHXTpsUDNdO_7D?usp=drive_link" TargetMode="External"/><Relationship Id="rId105" Type="http://schemas.openxmlformats.org/officeDocument/2006/relationships/hyperlink" Target="https://drive.google.com/file/d/1K6qma71wNeDS6U2OJRchCQ5CGIMkyCig/view?usp=drive_link" TargetMode="External"/><Relationship Id="rId126" Type="http://schemas.openxmlformats.org/officeDocument/2006/relationships/hyperlink" Target="https://drive.google.com/file/d/1Fa9PdBIrudTDLgD5BoHNi7GFHmnd9Eh7/view?usp=drive_link" TargetMode="External"/><Relationship Id="rId8" Type="http://schemas.openxmlformats.org/officeDocument/2006/relationships/hyperlink" Target="https://drive.google.com/drive/folders/1szkMvKU_MuaNcoKWGBSN6-x9KvMY0bKL?usp=drive_link" TargetMode="External"/><Relationship Id="rId51" Type="http://schemas.openxmlformats.org/officeDocument/2006/relationships/hyperlink" Target="https://drive.google.com/file/d/1X8eJ_ZORmt35Bn15VphZT4uGwEtYmEDW/view?usp=drive_link" TargetMode="External"/><Relationship Id="rId72" Type="http://schemas.openxmlformats.org/officeDocument/2006/relationships/hyperlink" Target="https://drive.google.com/file/d/1zoujmPucbZPTOFz2rA6-TpLd229wxUDp/view?usp=drive_link" TargetMode="External"/><Relationship Id="rId93" Type="http://schemas.openxmlformats.org/officeDocument/2006/relationships/hyperlink" Target="https://drive.google.com/file/d/1ZiTIIcNQacwCz56KCaQnVj7JAByxvu_9/view?usp=drive_link" TargetMode="External"/><Relationship Id="rId98" Type="http://schemas.openxmlformats.org/officeDocument/2006/relationships/hyperlink" Target="https://drive.google.com/drive/folders/1lk2glZfuinIjX9H7nJaI5CLPoeG-iljF?usp=drive_link" TargetMode="External"/><Relationship Id="rId121" Type="http://schemas.openxmlformats.org/officeDocument/2006/relationships/hyperlink" Target="https://drive.google.com/file/d/16RD4NKmUNUuXeapc_8Hzt5M8345Q6ipt/view?usp=drive_link" TargetMode="External"/><Relationship Id="rId3" Type="http://schemas.openxmlformats.org/officeDocument/2006/relationships/hyperlink" Target="https://drive.google.com/file/d/1kHQQB3v_owAOQUeSjkdaJdHQIU2rACD7/view?usp=drive_link" TargetMode="External"/><Relationship Id="rId25" Type="http://schemas.openxmlformats.org/officeDocument/2006/relationships/hyperlink" Target="https://drive.google.com/file/d/1aC88oQsSbD3D7X9wOQ2IsFrKnXiCz1BD/view?usp=drive_link" TargetMode="External"/><Relationship Id="rId46" Type="http://schemas.openxmlformats.org/officeDocument/2006/relationships/hyperlink" Target="https://drive.google.com/file/d/16osbZ4VGvisOO7oviZOHNjDlNNvJn3xY/view?usp=drive_link" TargetMode="External"/><Relationship Id="rId67" Type="http://schemas.openxmlformats.org/officeDocument/2006/relationships/hyperlink" Target="https://drive.google.com/file/d/18OfJGrj5lRTd6RmrH56vlMq9Oy3vsoMh/view?usp=drive_link" TargetMode="External"/><Relationship Id="rId116" Type="http://schemas.openxmlformats.org/officeDocument/2006/relationships/hyperlink" Target="https://drive.google.com/file/d/10IUF4Sdofy8BTb0g2XeLC21JmXbOEPOI/view?usp=drive_link" TargetMode="External"/><Relationship Id="rId20" Type="http://schemas.openxmlformats.org/officeDocument/2006/relationships/hyperlink" Target="https://drive.google.com/file/d/1q1dbCKDeo0RFs6hklFN15_OIIxA5jHVN/view?usp=drive_link" TargetMode="External"/><Relationship Id="rId41" Type="http://schemas.openxmlformats.org/officeDocument/2006/relationships/hyperlink" Target="https://drive.google.com/file/d/1Fkh7ecCXt9NmpDQYtD2ZK-84msArgbWO/view?usp=drive_link" TargetMode="External"/><Relationship Id="rId62" Type="http://schemas.openxmlformats.org/officeDocument/2006/relationships/hyperlink" Target="https://drive.google.com/drive/folders/1DqMotvQuDZhgOzCG7gyeUKcDsxP23fJ5?usp=drive_link" TargetMode="External"/><Relationship Id="rId83" Type="http://schemas.openxmlformats.org/officeDocument/2006/relationships/hyperlink" Target="https://drive.google.com/drive/folders/1QLELgg-OMZ3pfNMHD6o1mHi_LtnLnfXX?usp=drive_link" TargetMode="External"/><Relationship Id="rId88" Type="http://schemas.openxmlformats.org/officeDocument/2006/relationships/hyperlink" Target="https://drive.google.com/drive/folders/1kOV1LALdiH2u0APUruWZLuvGiA00u3zI?usp=drive_link" TargetMode="External"/><Relationship Id="rId111" Type="http://schemas.openxmlformats.org/officeDocument/2006/relationships/hyperlink" Target="https://drive.google.com/drive/folders/1fGv53MC4U59Re8s7eQLy1PI8cb-_7uSw?usp=drive_link" TargetMode="External"/><Relationship Id="rId15" Type="http://schemas.openxmlformats.org/officeDocument/2006/relationships/hyperlink" Target="https://drive.google.com/drive/folders/1vCWivNCIIh3X3rzV6vahHageemAzBI17?usp=drive_link" TargetMode="External"/><Relationship Id="rId36" Type="http://schemas.openxmlformats.org/officeDocument/2006/relationships/hyperlink" Target="https://drive.google.com/file/d/1g0dqw7_v-b-IMtthGi3Ym6SurzMpOPAW/view?usp=drive_link" TargetMode="External"/><Relationship Id="rId57" Type="http://schemas.openxmlformats.org/officeDocument/2006/relationships/hyperlink" Target="https://drive.google.com/drive/u/0/folders/1eJFqL-xSiPXbotmD5Bvr5TL0EmX1aU2K" TargetMode="External"/><Relationship Id="rId106" Type="http://schemas.openxmlformats.org/officeDocument/2006/relationships/hyperlink" Target="https://drive.google.com/file/d/1K6qma71wNeDS6U2OJRchCQ5CGIMkyCig/view?usp=drive_link" TargetMode="External"/><Relationship Id="rId127" Type="http://schemas.openxmlformats.org/officeDocument/2006/relationships/hyperlink" Target="https://drive.google.com/drive/folders/1o6S5FGARS5iGuR4C0TQrR9cQ1iszwhhM?usp=drive_link" TargetMode="External"/><Relationship Id="rId10" Type="http://schemas.openxmlformats.org/officeDocument/2006/relationships/hyperlink" Target="https://drive.google.com/drive/folders/1uEAnMkyiM08imshs6J9PWOtMPBQWG9fi?usp=drive_link" TargetMode="External"/><Relationship Id="rId31" Type="http://schemas.openxmlformats.org/officeDocument/2006/relationships/hyperlink" Target="https://drive.google.com/drive/folders/1C3D3I8XcAEnPa9Js0XEWIbIADMqq8z2S?usp=drive_link" TargetMode="External"/><Relationship Id="rId52" Type="http://schemas.openxmlformats.org/officeDocument/2006/relationships/hyperlink" Target="https://drive.google.com/file/d/1X8eJ_ZORmt35Bn15VphZT4uGwEtYmEDW/view?usp=drive_link" TargetMode="External"/><Relationship Id="rId73" Type="http://schemas.openxmlformats.org/officeDocument/2006/relationships/hyperlink" Target="https://drive.google.com/file/d/1yOW2I8Ee-UzU4Jslp1jRgcpC7PRtflWm/view?usp=drive_link" TargetMode="External"/><Relationship Id="rId78" Type="http://schemas.openxmlformats.org/officeDocument/2006/relationships/hyperlink" Target="https://drive.google.com/file/d/1uAMf9vVVXHRfltQBTRPrRvM06hW3wcQ0/view?usp=drive_link" TargetMode="External"/><Relationship Id="rId94" Type="http://schemas.openxmlformats.org/officeDocument/2006/relationships/hyperlink" Target="https://drive.google.com/file/d/1aJQmKKLbKnDVqY-B3HhFiewPaRlQc61l/view?usp=drive_link" TargetMode="External"/><Relationship Id="rId99" Type="http://schemas.openxmlformats.org/officeDocument/2006/relationships/hyperlink" Target="https://drive.google.com/drive/folders/1lk2glZfuinIjX9H7nJaI5CLPoeG-iljF?usp=drive_link" TargetMode="External"/><Relationship Id="rId101" Type="http://schemas.openxmlformats.org/officeDocument/2006/relationships/hyperlink" Target="https://drive.google.com/drive/folders/1AL0kKRBETIr-FcW2UJxHXTpsUDNdO_7D?usp=drive_link" TargetMode="External"/><Relationship Id="rId122" Type="http://schemas.openxmlformats.org/officeDocument/2006/relationships/hyperlink" Target="https://drive.google.com/file/d/16RD4NKmUNUuXeapc_8Hzt5M8345Q6ipt/view?usp=drive_link" TargetMode="External"/><Relationship Id="rId4" Type="http://schemas.openxmlformats.org/officeDocument/2006/relationships/hyperlink" Target="https://drive.google.com/file/d/1kHQQB3v_owAOQUeSjkdaJdHQIU2rACD7/view?usp=drive_link" TargetMode="External"/><Relationship Id="rId9" Type="http://schemas.openxmlformats.org/officeDocument/2006/relationships/hyperlink" Target="https://drive.google.com/drive/folders/1uEAnMkyiM08imshs6J9PWOtMPBQWG9fi?usp=drive_link" TargetMode="External"/><Relationship Id="rId26" Type="http://schemas.openxmlformats.org/officeDocument/2006/relationships/hyperlink" Target="https://drive.google.com/file/d/1iu2qWADnTtZteQRRRrIZkRWVbCvqn7mf/view?usp=drive_link"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ive.google.com/file/d/14w6g-AxVSlOpRYhIgcrc5lRRgbOKA8fx/view?usp=drive_link" TargetMode="External"/><Relationship Id="rId21" Type="http://schemas.openxmlformats.org/officeDocument/2006/relationships/hyperlink" Target="https://drive.google.com/file/d/10QCDuyhZ0gv8tbF9UQWpr36SkYStN5kD/view?usp=drive_link" TargetMode="External"/><Relationship Id="rId42" Type="http://schemas.openxmlformats.org/officeDocument/2006/relationships/hyperlink" Target="https://ajax.systems/products/motioncam-phod/" TargetMode="External"/><Relationship Id="rId47" Type="http://schemas.openxmlformats.org/officeDocument/2006/relationships/hyperlink" Target="https://drive.google.com/file/d/1i15f7CyV1DPYb8OgxtKxW8h_xRsFH0Hj/view?usp=drive_link" TargetMode="External"/><Relationship Id="rId63" Type="http://schemas.openxmlformats.org/officeDocument/2006/relationships/hyperlink" Target="https://drive.google.com/file/d/1bQ5ZtWFFYNBNVNcAckGJ9B-FUbDKLvnt/view?usp=drive_link" TargetMode="External"/><Relationship Id="rId68" Type="http://schemas.openxmlformats.org/officeDocument/2006/relationships/hyperlink" Target="https://drive.google.com/file/d/1eBUczLc19MsDg4Pud53GXLVGxbNkKChS/view?usp=drive_link" TargetMode="External"/><Relationship Id="rId84" Type="http://schemas.openxmlformats.org/officeDocument/2006/relationships/hyperlink" Target="https://drive.google.com/file/d/1g7cZUIO997dEWBi1y0RLogaFsl4B4VXa/view?usp=drive_link" TargetMode="External"/><Relationship Id="rId89" Type="http://schemas.openxmlformats.org/officeDocument/2006/relationships/hyperlink" Target="https://ajax.systems/products/vhfbridge/" TargetMode="External"/><Relationship Id="rId16" Type="http://schemas.openxmlformats.org/officeDocument/2006/relationships/hyperlink" Target="https://drive.google.com/file/d/1xiMqp2ub1nZDvYKo9TrVgzQfviBDFBYP/view?usp=drive_link" TargetMode="External"/><Relationship Id="rId11" Type="http://schemas.openxmlformats.org/officeDocument/2006/relationships/hyperlink" Target="https://drive.google.com/drive/u/0/folders/1MTmdHjB6VcXNMNG4UmUhJBn-YIcLOWVY" TargetMode="External"/><Relationship Id="rId32" Type="http://schemas.openxmlformats.org/officeDocument/2006/relationships/hyperlink" Target="https://drive.google.com/file/d/1U393nqBN2ITkGXoypFSInLXjmGkhLlkb/view?usp=drive_link" TargetMode="External"/><Relationship Id="rId37" Type="http://schemas.openxmlformats.org/officeDocument/2006/relationships/hyperlink" Target="https://drive.google.com/file/d/1J26epmg3zAkMVs8Kp5yr0RCTYeQxPqqa/view?usp=drive_link" TargetMode="External"/><Relationship Id="rId53" Type="http://schemas.openxmlformats.org/officeDocument/2006/relationships/hyperlink" Target="https://drive.google.com/drive/folders/1W5d4BZ1V_ZKB0BFrsHw2cXJd6GgK7gdi?usp=sharing" TargetMode="External"/><Relationship Id="rId58" Type="http://schemas.openxmlformats.org/officeDocument/2006/relationships/hyperlink" Target="https://drive.google.com/file/d/1oWH1-ETqSjqlT8KnfHgpi23XwsfFmEyM/view?usp=drive_link" TargetMode="External"/><Relationship Id="rId74" Type="http://schemas.openxmlformats.org/officeDocument/2006/relationships/hyperlink" Target="https://ajax.systems/products/holder/" TargetMode="External"/><Relationship Id="rId79" Type="http://schemas.openxmlformats.org/officeDocument/2006/relationships/hyperlink" Target="https://drive.google.com/file/d/1SNBab0e4C_yiEttnemjlFvg9qP2JvSam/view?usp=drive_link" TargetMode="External"/><Relationship Id="rId102" Type="http://schemas.openxmlformats.org/officeDocument/2006/relationships/hyperlink" Target="https://drive.google.com/file/d/1z1Y5HoF3PJu3G9pl-sIRHsfEjJPendps/view" TargetMode="External"/><Relationship Id="rId5" Type="http://schemas.openxmlformats.org/officeDocument/2006/relationships/hyperlink" Target="https://drive.google.com/file/d/1M152ICiplxvGThWHcqE1K4g9rSLPhVg6/view?usp=drive_link" TargetMode="External"/><Relationship Id="rId90" Type="http://schemas.openxmlformats.org/officeDocument/2006/relationships/hyperlink" Target="https://drive.google.com/file/d/1bWdXJhRzaEAC8743nea9-pL6EUmzRB8D/view?usp=drive_link" TargetMode="External"/><Relationship Id="rId95" Type="http://schemas.openxmlformats.org/officeDocument/2006/relationships/hyperlink" Target="https://drive.google.com/file/d/1I-Mt5gn08sQnSfyJPLA8BOHouHe_rmX2/view?usp=drive_link" TargetMode="External"/><Relationship Id="rId22" Type="http://schemas.openxmlformats.org/officeDocument/2006/relationships/hyperlink" Target="https://drive.google.com/file/d/152uo4fRMovr2hKIuc7cK9HQecuStpBJF/view?usp=drive_link" TargetMode="External"/><Relationship Id="rId27" Type="http://schemas.openxmlformats.org/officeDocument/2006/relationships/hyperlink" Target="https://drive.google.com/file/d/14w6g-AxVSlOpRYhIgcrc5lRRgbOKA8fx/view?usp=drive_link" TargetMode="External"/><Relationship Id="rId43" Type="http://schemas.openxmlformats.org/officeDocument/2006/relationships/hyperlink" Target="https://drive.google.com/file/d/1JqUNmlSMgTt5UeBfNneqv44YCdd74oaN/view?usp=drive_link" TargetMode="External"/><Relationship Id="rId48" Type="http://schemas.openxmlformats.org/officeDocument/2006/relationships/hyperlink" Target="https://drive.google.com/file/d/1i15f7CyV1DPYb8OgxtKxW8h_xRsFH0Hj/view?usp=drive_link" TargetMode="External"/><Relationship Id="rId64" Type="http://schemas.openxmlformats.org/officeDocument/2006/relationships/hyperlink" Target="https://drive.google.com/file/d/1bQ5ZtWFFYNBNVNcAckGJ9B-FUbDKLvnt/view?usp=drive_link" TargetMode="External"/><Relationship Id="rId69" Type="http://schemas.openxmlformats.org/officeDocument/2006/relationships/hyperlink" Target="https://drive.google.com/file/d/1eBUczLc19MsDg4Pud53GXLVGxbNkKChS/view?usp=drive_link" TargetMode="External"/><Relationship Id="rId80" Type="http://schemas.openxmlformats.org/officeDocument/2006/relationships/hyperlink" Target="https://drive.google.com/file/d/1SNBab0e4C_yiEttnemjlFvg9qP2JvSam/view?usp=drive_link" TargetMode="External"/><Relationship Id="rId85" Type="http://schemas.openxmlformats.org/officeDocument/2006/relationships/hyperlink" Target="https://drive.google.com/file/d/1wCWFsWgnmBxcmC9ri4-jVR85Ja8Dab-i/view?usp=drive_link" TargetMode="External"/><Relationship Id="rId12" Type="http://schemas.openxmlformats.org/officeDocument/2006/relationships/hyperlink" Target="https://ajax.systems/products/rex/" TargetMode="External"/><Relationship Id="rId17" Type="http://schemas.openxmlformats.org/officeDocument/2006/relationships/hyperlink" Target="https://drive.google.com/file/d/1xiMqp2ub1nZDvYKo9TrVgzQfviBDFBYP/view?usp=drive_link" TargetMode="External"/><Relationship Id="rId25" Type="http://schemas.openxmlformats.org/officeDocument/2006/relationships/hyperlink" Target="https://drive.google.com/file/d/1d5QbZbx-3v2H45wZkc5yP0RjZrF9beK0/view?usp=drive_link" TargetMode="External"/><Relationship Id="rId33" Type="http://schemas.openxmlformats.org/officeDocument/2006/relationships/hyperlink" Target="https://drive.google.com/file/d/1DSxCXIH8ZGPIsDkRUg1cWEN7eWSpiI_v/view?usp=drive_link" TargetMode="External"/><Relationship Id="rId38" Type="http://schemas.openxmlformats.org/officeDocument/2006/relationships/hyperlink" Target="https://drive.google.com/file/d/1J26epmg3zAkMVs8Kp5yr0RCTYeQxPqqa/view?usp=drive_link" TargetMode="External"/><Relationship Id="rId46" Type="http://schemas.openxmlformats.org/officeDocument/2006/relationships/hyperlink" Target="https://drive.google.com/file/d/14eEksp8ZnJDsdHFSXce0istpLCJ2OuLq/view?usp=drive_link" TargetMode="External"/><Relationship Id="rId59" Type="http://schemas.openxmlformats.org/officeDocument/2006/relationships/hyperlink" Target="https://drive.google.com/file/d/1oWH1-ETqSjqlT8KnfHgpi23XwsfFmEyM/view?usp=drive_link" TargetMode="External"/><Relationship Id="rId67" Type="http://schemas.openxmlformats.org/officeDocument/2006/relationships/hyperlink" Target="https://drive.google.com/file/d/1bQ5ZtWFFYNBNVNcAckGJ9B-FUbDKLvnt/view?usp=drive_link" TargetMode="External"/><Relationship Id="rId103" Type="http://schemas.openxmlformats.org/officeDocument/2006/relationships/drawing" Target="../drawings/drawing2.xml"/><Relationship Id="rId20" Type="http://schemas.openxmlformats.org/officeDocument/2006/relationships/hyperlink" Target="https://drive.google.com/file/d/10QCDuyhZ0gv8tbF9UQWpr36SkYStN5kD/view?usp=drive_link" TargetMode="External"/><Relationship Id="rId41" Type="http://schemas.openxmlformats.org/officeDocument/2006/relationships/hyperlink" Target="https://ajax.systems/products/motioncam-phod/" TargetMode="External"/><Relationship Id="rId54" Type="http://schemas.openxmlformats.org/officeDocument/2006/relationships/hyperlink" Target="https://drive.google.com/drive/folders/1W5d4BZ1V_ZKB0BFrsHw2cXJd6GgK7gdi?usp=sharing" TargetMode="External"/><Relationship Id="rId62" Type="http://schemas.openxmlformats.org/officeDocument/2006/relationships/hyperlink" Target="https://drive.google.com/file/d/1bQ5ZtWFFYNBNVNcAckGJ9B-FUbDKLvnt/view?usp=drive_link" TargetMode="External"/><Relationship Id="rId70" Type="http://schemas.openxmlformats.org/officeDocument/2006/relationships/hyperlink" Target="https://drive.google.com/file/d/1tBv-UV96wC23V0I2kdIqhDkrcQxqj4YM/view?usp=drive_link" TargetMode="External"/><Relationship Id="rId75" Type="http://schemas.openxmlformats.org/officeDocument/2006/relationships/hyperlink" Target="https://drive.google.com/file/d/1QkyAxlNG7J5SyJwXgMiCWoRhlWb7UBXV/view?usp=drive_link" TargetMode="External"/><Relationship Id="rId83" Type="http://schemas.openxmlformats.org/officeDocument/2006/relationships/hyperlink" Target="https://drive.google.com/file/d/1g7cZUIO997dEWBi1y0RLogaFsl4B4VXa/view?usp=drive_link" TargetMode="External"/><Relationship Id="rId88" Type="http://schemas.openxmlformats.org/officeDocument/2006/relationships/hyperlink" Target="https://drive.google.com/file/d/1nRtjNapSgNs_RpbzA9k78bhhaln5uwB5/view?usp=drive_link" TargetMode="External"/><Relationship Id="rId91" Type="http://schemas.openxmlformats.org/officeDocument/2006/relationships/hyperlink" Target="https://drive.google.com/file/d/1fi1lsWIQB1D52znfanQiBqLpCXbZnWpW/view?usp=drive_link" TargetMode="External"/><Relationship Id="rId96" Type="http://schemas.openxmlformats.org/officeDocument/2006/relationships/hyperlink" Target="https://drive.google.com/file/d/1j1Gvs6a3mxAvR0k5lLACYc2LkRO84xZA/view?usp=drive_link" TargetMode="External"/><Relationship Id="rId1" Type="http://schemas.openxmlformats.org/officeDocument/2006/relationships/hyperlink" Target="https://drive.google.com/file/d/1HviAl-bOoSk9Orgs3pDc_hGwHJJ5b9Ir/view?usp=drive_link" TargetMode="External"/><Relationship Id="rId6" Type="http://schemas.openxmlformats.org/officeDocument/2006/relationships/hyperlink" Target="https://drive.google.com/file/d/1M152ICiplxvGThWHcqE1K4g9rSLPhVg6/view?usp=drive_link" TargetMode="External"/><Relationship Id="rId15" Type="http://schemas.openxmlformats.org/officeDocument/2006/relationships/hyperlink" Target="https://ajax.systems/products/rex-2/" TargetMode="External"/><Relationship Id="rId23" Type="http://schemas.openxmlformats.org/officeDocument/2006/relationships/hyperlink" Target="https://drive.google.com/file/d/152uo4fRMovr2hKIuc7cK9HQecuStpBJF/view?usp=drive_link" TargetMode="External"/><Relationship Id="rId28" Type="http://schemas.openxmlformats.org/officeDocument/2006/relationships/hyperlink" Target="https://drive.google.com/file/d/1e4TLMqKwL1flDvrGyY6C6R62QfLT0xMj/view?usp=drive_link" TargetMode="External"/><Relationship Id="rId36" Type="http://schemas.openxmlformats.org/officeDocument/2006/relationships/hyperlink" Target="https://drive.google.com/drive/folders/1q7xAgdQuFyvIpYlI--ASGLMGkCmzvDx1?usp=drive_link" TargetMode="External"/><Relationship Id="rId49" Type="http://schemas.openxmlformats.org/officeDocument/2006/relationships/hyperlink" Target="https://drive.google.com/file/d/10Eg0SMEnHBz_Z0IABffN7KP-oPhQy7Cy/view?usp=drive_link" TargetMode="External"/><Relationship Id="rId57" Type="http://schemas.openxmlformats.org/officeDocument/2006/relationships/hyperlink" Target="https://drive.google.com/file/d/1oWH1-ETqSjqlT8KnfHgpi23XwsfFmEyM/view?usp=drive_link" TargetMode="External"/><Relationship Id="rId10" Type="http://schemas.openxmlformats.org/officeDocument/2006/relationships/hyperlink" Target="https://drive.google.com/file/d/1RR4i-c1iwU4gg84e5C3u4NfenC6auRV_/view?usp=drive_link" TargetMode="External"/><Relationship Id="rId31" Type="http://schemas.openxmlformats.org/officeDocument/2006/relationships/hyperlink" Target="https://ajax.systems/de/products/mpo-hood/" TargetMode="External"/><Relationship Id="rId44" Type="http://schemas.openxmlformats.org/officeDocument/2006/relationships/hyperlink" Target="https://drive.google.com/file/d/1JqUNmlSMgTt5UeBfNneqv44YCdd74oaN/view?usp=drive_link" TargetMode="External"/><Relationship Id="rId52" Type="http://schemas.openxmlformats.org/officeDocument/2006/relationships/hyperlink" Target="https://drive.google.com/file/d/1duSeq-Uf-a0n9khUM6JFNWZ5Lbk0MYHC/view?usp=drive_link" TargetMode="External"/><Relationship Id="rId60" Type="http://schemas.openxmlformats.org/officeDocument/2006/relationships/hyperlink" Target="https://drive.google.com/file/d/1oWH1-ETqSjqlT8KnfHgpi23XwsfFmEyM/view?usp=drive_link" TargetMode="External"/><Relationship Id="rId65" Type="http://schemas.openxmlformats.org/officeDocument/2006/relationships/hyperlink" Target="https://drive.google.com/file/d/1bQ5ZtWFFYNBNVNcAckGJ9B-FUbDKLvnt/view?usp=drive_link" TargetMode="External"/><Relationship Id="rId73" Type="http://schemas.openxmlformats.org/officeDocument/2006/relationships/hyperlink" Target="http://38214.82.bl/" TargetMode="External"/><Relationship Id="rId78" Type="http://schemas.openxmlformats.org/officeDocument/2006/relationships/hyperlink" Target="https://drive.google.com/file/d/1USraPXutbLOv_6ndjuKtJV2QDEeWFrsQ/view?usp=drive_link" TargetMode="External"/><Relationship Id="rId81" Type="http://schemas.openxmlformats.org/officeDocument/2006/relationships/hyperlink" Target="https://drive.google.com/file/d/1bolntZY2eNM8uQuDV5lokAt3Nyi8fhJZ/view?usp=drive_link" TargetMode="External"/><Relationship Id="rId86" Type="http://schemas.openxmlformats.org/officeDocument/2006/relationships/hyperlink" Target="https://drive.google.com/file/d/1wCWFsWgnmBxcmC9ri4-jVR85Ja8Dab-i/view?usp=drive_link" TargetMode="External"/><Relationship Id="rId94" Type="http://schemas.openxmlformats.org/officeDocument/2006/relationships/hyperlink" Target="https://ajax.systems/products/uartbridge/" TargetMode="External"/><Relationship Id="rId99" Type="http://schemas.openxmlformats.org/officeDocument/2006/relationships/hyperlink" Target="https://drive.google.com/file/d/1z1Y5HoF3PJu3G9pl-sIRHsfEjJPendps/view" TargetMode="External"/><Relationship Id="rId101" Type="http://schemas.openxmlformats.org/officeDocument/2006/relationships/hyperlink" Target="https://drive.google.com/file/d/1z1Y5HoF3PJu3G9pl-sIRHsfEjJPendps/view" TargetMode="External"/><Relationship Id="rId4" Type="http://schemas.openxmlformats.org/officeDocument/2006/relationships/hyperlink" Target="https://drive.google.com/file/d/1HviAl-bOoSk9Orgs3pDc_hGwHJJ5b9Ir/view?usp=drive_link" TargetMode="External"/><Relationship Id="rId9" Type="http://schemas.openxmlformats.org/officeDocument/2006/relationships/hyperlink" Target="https://drive.google.com/file/d/1RR4i-c1iwU4gg84e5C3u4NfenC6auRV_/view?usp=drive_link" TargetMode="External"/><Relationship Id="rId13" Type="http://schemas.openxmlformats.org/officeDocument/2006/relationships/hyperlink" Target="https://ajax.systems/products/rex/" TargetMode="External"/><Relationship Id="rId18" Type="http://schemas.openxmlformats.org/officeDocument/2006/relationships/hyperlink" Target="https://drive.google.com/file/d/1TT8OELcyrLjWXqnPoam0vUDCbvuqGI3C/view?usp=drive_link" TargetMode="External"/><Relationship Id="rId39" Type="http://schemas.openxmlformats.org/officeDocument/2006/relationships/hyperlink" Target="https://ajax.systems/products/motionprotect-curtain/" TargetMode="External"/><Relationship Id="rId34" Type="http://schemas.openxmlformats.org/officeDocument/2006/relationships/hyperlink" Target="https://drive.google.com/file/d/1xCWVWrXHrQStLdYrDQ-qJbK3j0WTyZrb/view?usp=drive_link" TargetMode="External"/><Relationship Id="rId50" Type="http://schemas.openxmlformats.org/officeDocument/2006/relationships/hyperlink" Target="https://drive.google.com/file/d/10Eg0SMEnHBz_Z0IABffN7KP-oPhQy7Cy/view?usp=drive_link" TargetMode="External"/><Relationship Id="rId55" Type="http://schemas.openxmlformats.org/officeDocument/2006/relationships/hyperlink" Target="https://drive.google.com/drive/folders/1W5d4BZ1V_ZKB0BFrsHw2cXJd6GgK7gdi?usp=sharing" TargetMode="External"/><Relationship Id="rId76" Type="http://schemas.openxmlformats.org/officeDocument/2006/relationships/hyperlink" Target="https://drive.google.com/file/d/1QkyAxlNG7J5SyJwXgMiCWoRhlWb7UBXV/view?usp=drive_link" TargetMode="External"/><Relationship Id="rId97" Type="http://schemas.openxmlformats.org/officeDocument/2006/relationships/hyperlink" Target="https://drive.google.com/file/d/1w2gNKPui5vZFjGqHyy0UepdhGl9gx-XK/view?usp=drive_link" TargetMode="External"/><Relationship Id="rId7" Type="http://schemas.openxmlformats.org/officeDocument/2006/relationships/hyperlink" Target="https://drive.google.com/file/d/1pjkgK9Zz5W7wRAvu7sMF8BiGmm3TcfnV/view?usp=drive_link" TargetMode="External"/><Relationship Id="rId71" Type="http://schemas.openxmlformats.org/officeDocument/2006/relationships/hyperlink" Target="https://drive.google.com/file/d/1tBv-UV96wC23V0I2kdIqhDkrcQxqj4YM/view?usp=drive_link" TargetMode="External"/><Relationship Id="rId92" Type="http://schemas.openxmlformats.org/officeDocument/2006/relationships/hyperlink" Target="https://drive.google.com/file/d/1fi1lsWIQB1D52znfanQiBqLpCXbZnWpW/view?usp=drive_link" TargetMode="External"/><Relationship Id="rId2" Type="http://schemas.openxmlformats.org/officeDocument/2006/relationships/hyperlink" Target="https://drive.google.com/file/d/1HviAl-bOoSk9Orgs3pDc_hGwHJJ5b9Ir/view?usp=drive_link" TargetMode="External"/><Relationship Id="rId29" Type="http://schemas.openxmlformats.org/officeDocument/2006/relationships/hyperlink" Target="https://drive.google.com/file/d/1e3yj5wIMuxdk1SlUkbGNZ124BXWI82rd/view?usp=drive_link" TargetMode="External"/><Relationship Id="rId24" Type="http://schemas.openxmlformats.org/officeDocument/2006/relationships/hyperlink" Target="https://drive.google.com/file/d/1d5QbZbx-3v2H45wZkc5yP0RjZrF9beK0/view?usp=drive_link" TargetMode="External"/><Relationship Id="rId40" Type="http://schemas.openxmlformats.org/officeDocument/2006/relationships/hyperlink" Target="https://ajax.systems/products/motionprotect-curtain/" TargetMode="External"/><Relationship Id="rId45" Type="http://schemas.openxmlformats.org/officeDocument/2006/relationships/hyperlink" Target="https://drive.google.com/file/d/14eEksp8ZnJDsdHFSXce0istpLCJ2OuLq/view?usp=drive_link" TargetMode="External"/><Relationship Id="rId66" Type="http://schemas.openxmlformats.org/officeDocument/2006/relationships/hyperlink" Target="https://drive.google.com/file/d/1bQ5ZtWFFYNBNVNcAckGJ9B-FUbDKLvnt/view?usp=drive_link" TargetMode="External"/><Relationship Id="rId87" Type="http://schemas.openxmlformats.org/officeDocument/2006/relationships/hyperlink" Target="https://drive.google.com/file/d/1nRtjNapSgNs_RpbzA9k78bhhaln5uwB5/view?usp=drive_link" TargetMode="External"/><Relationship Id="rId61" Type="http://schemas.openxmlformats.org/officeDocument/2006/relationships/hyperlink" Target="https://drive.google.com/file/d/1oWH1-ETqSjqlT8KnfHgpi23XwsfFmEyM/view?usp=drive_link" TargetMode="External"/><Relationship Id="rId82" Type="http://schemas.openxmlformats.org/officeDocument/2006/relationships/hyperlink" Target="https://drive.google.com/file/d/1bolntZY2eNM8uQuDV5lokAt3Nyi8fhJZ/view?usp=drive_link" TargetMode="External"/><Relationship Id="rId19" Type="http://schemas.openxmlformats.org/officeDocument/2006/relationships/hyperlink" Target="https://drive.google.com/file/d/1TT8OELcyrLjWXqnPoam0vUDCbvuqGI3C/view?usp=drive_link" TargetMode="External"/><Relationship Id="rId14" Type="http://schemas.openxmlformats.org/officeDocument/2006/relationships/hyperlink" Target="https://ajax.systems/products/rex-2/" TargetMode="External"/><Relationship Id="rId30" Type="http://schemas.openxmlformats.org/officeDocument/2006/relationships/hyperlink" Target="https://drive.google.com/file/d/1H55Ru1Blr1sMxIe9_pVLgq79dzZxYpMs/view?usp=drive_link" TargetMode="External"/><Relationship Id="rId35" Type="http://schemas.openxmlformats.org/officeDocument/2006/relationships/hyperlink" Target="https://drive.google.com/drive/folders/1fAz4hmCnhBS357XIjCScgTgOX2EptMIU" TargetMode="External"/><Relationship Id="rId56" Type="http://schemas.openxmlformats.org/officeDocument/2006/relationships/hyperlink" Target="https://drive.google.com/file/d/1oWH1-ETqSjqlT8KnfHgpi23XwsfFmEyM/view?usp=drive_link" TargetMode="External"/><Relationship Id="rId77" Type="http://schemas.openxmlformats.org/officeDocument/2006/relationships/hyperlink" Target="https://drive.google.com/file/d/1USraPXutbLOv_6ndjuKtJV2QDEeWFrsQ/view?usp=drive_link" TargetMode="External"/><Relationship Id="rId100" Type="http://schemas.openxmlformats.org/officeDocument/2006/relationships/hyperlink" Target="https://drive.google.com/file/d/1z1Y5HoF3PJu3G9pl-sIRHsfEjJPendps/view" TargetMode="External"/><Relationship Id="rId8" Type="http://schemas.openxmlformats.org/officeDocument/2006/relationships/hyperlink" Target="https://drive.google.com/file/d/1pjkgK9Zz5W7wRAvu7sMF8BiGmm3TcfnV/view?usp=drive_link" TargetMode="External"/><Relationship Id="rId51" Type="http://schemas.openxmlformats.org/officeDocument/2006/relationships/hyperlink" Target="https://drive.google.com/file/d/1duSeq-Uf-a0n9khUM6JFNWZ5Lbk0MYHC/view?usp=drive_link" TargetMode="External"/><Relationship Id="rId72" Type="http://schemas.openxmlformats.org/officeDocument/2006/relationships/hyperlink" Target="https://ajax.systems/products/holder/" TargetMode="External"/><Relationship Id="rId93" Type="http://schemas.openxmlformats.org/officeDocument/2006/relationships/hyperlink" Target="https://ajax.systems/products/ocbridgeplus/" TargetMode="External"/><Relationship Id="rId98" Type="http://schemas.openxmlformats.org/officeDocument/2006/relationships/hyperlink" Target="https://drive.google.com/file/d/1k1wr4QlYf9T3Efkep-45g161x9blYPLm/view?usp=drive_link" TargetMode="External"/><Relationship Id="rId3" Type="http://schemas.openxmlformats.org/officeDocument/2006/relationships/hyperlink" Target="https://drive.google.com/file/d/1HviAl-bOoSk9Orgs3pDc_hGwHJJ5b9Ir/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6" Type="http://schemas.openxmlformats.org/officeDocument/2006/relationships/hyperlink" Target="https://drive.google.com/file/d/1l8AwH2ISn2mMkx4vE0zwp2yZeoPXjBsY/view?usp=drive_link" TargetMode="External"/><Relationship Id="rId21" Type="http://schemas.openxmlformats.org/officeDocument/2006/relationships/hyperlink" Target="https://drive.google.com/file/d/1alc-Bq__eDDPe4NcJwoIL9VwKh2CMAs4/view?usp=drive_link" TargetMode="External"/><Relationship Id="rId42" Type="http://schemas.openxmlformats.org/officeDocument/2006/relationships/hyperlink" Target="https://drive.google.com/drive/folders/1pvbUBoHCQi6yMc3WXtiPp33V_Qi3-Pog?usp=drive_link" TargetMode="External"/><Relationship Id="rId47" Type="http://schemas.openxmlformats.org/officeDocument/2006/relationships/hyperlink" Target="https://drive.google.com/drive/folders/1Zvu232J_azSz_UmpCQwiVFIq62KBGEoC?usp=drive_link" TargetMode="External"/><Relationship Id="rId63" Type="http://schemas.openxmlformats.org/officeDocument/2006/relationships/hyperlink" Target="https://drive.google.com/drive/folders/1nivQeknHacds3VXJQtIDbikg-NAaa_pH?usp=sharing" TargetMode="External"/><Relationship Id="rId68" Type="http://schemas.openxmlformats.org/officeDocument/2006/relationships/hyperlink" Target="https://drive.google.com/drive/u/0/folders/103Csu94LXSvPE0i18P82oooFQjFIHasi" TargetMode="External"/><Relationship Id="rId2" Type="http://schemas.openxmlformats.org/officeDocument/2006/relationships/hyperlink" Target="https://drive.google.com/drive/folders/1EeP7cZMXTcrS_w1cs0zyk-Fb-8ujuNLK?usp=drive_link" TargetMode="External"/><Relationship Id="rId16" Type="http://schemas.openxmlformats.org/officeDocument/2006/relationships/hyperlink" Target="https://drive.google.com/file/d/1alc-Bq__eDDPe4NcJwoIL9VwKh2CMAs4/view?usp=drive_link" TargetMode="External"/><Relationship Id="rId29" Type="http://schemas.openxmlformats.org/officeDocument/2006/relationships/hyperlink" Target="https://drive.google.com/file/d/1l8AwH2ISn2mMkx4vE0zwp2yZeoPXjBsY/view?usp=drive_link" TargetMode="External"/><Relationship Id="rId11" Type="http://schemas.openxmlformats.org/officeDocument/2006/relationships/hyperlink" Target="https://drive.google.com/file/d/1D4csdl7n3Tw3a8fSD0TMEZPk6eWsAFzf/view?usp=drive_link" TargetMode="External"/><Relationship Id="rId24" Type="http://schemas.openxmlformats.org/officeDocument/2006/relationships/hyperlink" Target="https://drive.google.com/file/d/1l8AwH2ISn2mMkx4vE0zwp2yZeoPXjBsY/view?usp=drive_link" TargetMode="External"/><Relationship Id="rId32" Type="http://schemas.openxmlformats.org/officeDocument/2006/relationships/hyperlink" Target="https://drive.google.com/drive/folders/1tu0vmDODzoQTg8HvFaCAOfJHOXnyPSjr?usp=drive_link" TargetMode="External"/><Relationship Id="rId37" Type="http://schemas.openxmlformats.org/officeDocument/2006/relationships/hyperlink" Target="https://drive.google.com/drive/folders/1tu0vmDODzoQTg8HvFaCAOfJHOXnyPSjr?usp=drive_link" TargetMode="External"/><Relationship Id="rId40" Type="http://schemas.openxmlformats.org/officeDocument/2006/relationships/hyperlink" Target="https://drive.google.com/drive/folders/1pvbUBoHCQi6yMc3WXtiPp33V_Qi3-Pog?usp=drive_link" TargetMode="External"/><Relationship Id="rId45" Type="http://schemas.openxmlformats.org/officeDocument/2006/relationships/hyperlink" Target="https://drive.google.com/drive/folders/1pvbUBoHCQi6yMc3WXtiPp33V_Qi3-Pog?usp=drive_link" TargetMode="External"/><Relationship Id="rId53" Type="http://schemas.openxmlformats.org/officeDocument/2006/relationships/hyperlink" Target="https://drive.google.com/drive/folders/1Zvu232J_azSz_UmpCQwiVFIq62KBGEoC?usp=drive_link" TargetMode="External"/><Relationship Id="rId58" Type="http://schemas.openxmlformats.org/officeDocument/2006/relationships/hyperlink" Target="https://drive.google.com/file/d/1dSX2RS0th2-U7X8BbcmviKsps2_sR7Mb/view?usp=drive_link" TargetMode="External"/><Relationship Id="rId66" Type="http://schemas.openxmlformats.org/officeDocument/2006/relationships/hyperlink" Target="https://drive.google.com/drive/u/0/folders/103Csu94LXSvPE0i18P82oooFQjFIHasi" TargetMode="External"/><Relationship Id="rId74" Type="http://schemas.openxmlformats.org/officeDocument/2006/relationships/hyperlink" Target="https://drive.google.com/drive/folders/1xQM17B3aZdE-nXxkZ0P-e0Bg1UaV0w1R?usp=drive_link" TargetMode="External"/><Relationship Id="rId5" Type="http://schemas.openxmlformats.org/officeDocument/2006/relationships/hyperlink" Target="https://drive.google.com/drive/folders/1WPnl25XZV2d8-IxI7u9QqhbSkN3wEWfs?usp=drive_link" TargetMode="External"/><Relationship Id="rId61" Type="http://schemas.openxmlformats.org/officeDocument/2006/relationships/hyperlink" Target="https://drive.google.com/file/d/1dSX2RS0th2-U7X8BbcmviKsps2_sR7Mb/view?usp=drive_link" TargetMode="External"/><Relationship Id="rId19" Type="http://schemas.openxmlformats.org/officeDocument/2006/relationships/hyperlink" Target="https://drive.google.com/file/d/1alc-Bq__eDDPe4NcJwoIL9VwKh2CMAs4/view?usp=drive_link" TargetMode="External"/><Relationship Id="rId14" Type="http://schemas.openxmlformats.org/officeDocument/2006/relationships/hyperlink" Target="https://drive.google.com/file/d/1D4csdl7n3Tw3a8fSD0TMEZPk6eWsAFzf/view?usp=drive_link" TargetMode="External"/><Relationship Id="rId22" Type="http://schemas.openxmlformats.org/officeDocument/2006/relationships/hyperlink" Target="https://drive.google.com/file/d/1alc-Bq__eDDPe4NcJwoIL9VwKh2CMAs4/view?usp=drive_link" TargetMode="External"/><Relationship Id="rId27" Type="http://schemas.openxmlformats.org/officeDocument/2006/relationships/hyperlink" Target="https://drive.google.com/file/d/1l8AwH2ISn2mMkx4vE0zwp2yZeoPXjBsY/view?usp=drive_link" TargetMode="External"/><Relationship Id="rId30" Type="http://schemas.openxmlformats.org/officeDocument/2006/relationships/hyperlink" Target="https://drive.google.com/file/d/1l8AwH2ISn2mMkx4vE0zwp2yZeoPXjBsY/view?usp=drive_link" TargetMode="External"/><Relationship Id="rId35" Type="http://schemas.openxmlformats.org/officeDocument/2006/relationships/hyperlink" Target="https://drive.google.com/drive/folders/1tu0vmDODzoQTg8HvFaCAOfJHOXnyPSjr?usp=drive_link" TargetMode="External"/><Relationship Id="rId43" Type="http://schemas.openxmlformats.org/officeDocument/2006/relationships/hyperlink" Target="https://drive.google.com/drive/folders/1pvbUBoHCQi6yMc3WXtiPp33V_Qi3-Pog?usp=drive_link" TargetMode="External"/><Relationship Id="rId48" Type="http://schemas.openxmlformats.org/officeDocument/2006/relationships/hyperlink" Target="https://drive.google.com/drive/folders/1Zvu232J_azSz_UmpCQwiVFIq62KBGEoC?usp=drive_link" TargetMode="External"/><Relationship Id="rId56" Type="http://schemas.openxmlformats.org/officeDocument/2006/relationships/hyperlink" Target="http://88882.234.bl/" TargetMode="External"/><Relationship Id="rId64" Type="http://schemas.openxmlformats.org/officeDocument/2006/relationships/hyperlink" Target="https://drive.google.com/drive/folders/1nivQeknHacds3VXJQtIDbikg-NAaa_pH?usp=sharing" TargetMode="External"/><Relationship Id="rId69" Type="http://schemas.openxmlformats.org/officeDocument/2006/relationships/hyperlink" Target="https://drive.google.com/drive/u/0/folders/103Csu94LXSvPE0i18P82oooFQjFIHasi" TargetMode="External"/><Relationship Id="rId8" Type="http://schemas.openxmlformats.org/officeDocument/2006/relationships/hyperlink" Target="https://drive.google.com/file/d/1D4csdl7n3Tw3a8fSD0TMEZPk6eWsAFzf/view?usp=drive_link" TargetMode="External"/><Relationship Id="rId51" Type="http://schemas.openxmlformats.org/officeDocument/2006/relationships/hyperlink" Target="https://drive.google.com/drive/folders/1Zvu232J_azSz_UmpCQwiVFIq62KBGEoC?usp=drive_link" TargetMode="External"/><Relationship Id="rId72" Type="http://schemas.openxmlformats.org/officeDocument/2006/relationships/hyperlink" Target="https://drive.google.com/drive/u/0/folders/103Csu94LXSvPE0i18P82oooFQjFIHasi" TargetMode="External"/><Relationship Id="rId3" Type="http://schemas.openxmlformats.org/officeDocument/2006/relationships/hyperlink" Target="https://drive.google.com/drive/folders/1WPnl25XZV2d8-IxI7u9QqhbSkN3wEWfs?usp=drive_link" TargetMode="External"/><Relationship Id="rId12" Type="http://schemas.openxmlformats.org/officeDocument/2006/relationships/hyperlink" Target="https://drive.google.com/file/d/1D4csdl7n3Tw3a8fSD0TMEZPk6eWsAFzf/view?usp=drive_link" TargetMode="External"/><Relationship Id="rId17" Type="http://schemas.openxmlformats.org/officeDocument/2006/relationships/hyperlink" Target="https://drive.google.com/file/d/1alc-Bq__eDDPe4NcJwoIL9VwKh2CMAs4/view?usp=drive_link" TargetMode="External"/><Relationship Id="rId25" Type="http://schemas.openxmlformats.org/officeDocument/2006/relationships/hyperlink" Target="https://drive.google.com/file/d/1l8AwH2ISn2mMkx4vE0zwp2yZeoPXjBsY/view?usp=drive_link" TargetMode="External"/><Relationship Id="rId33" Type="http://schemas.openxmlformats.org/officeDocument/2006/relationships/hyperlink" Target="https://drive.google.com/drive/folders/1tu0vmDODzoQTg8HvFaCAOfJHOXnyPSjr?usp=drive_link" TargetMode="External"/><Relationship Id="rId38" Type="http://schemas.openxmlformats.org/officeDocument/2006/relationships/hyperlink" Target="https://drive.google.com/drive/folders/1tu0vmDODzoQTg8HvFaCAOfJHOXnyPSjr?usp=drive_link" TargetMode="External"/><Relationship Id="rId46" Type="http://schemas.openxmlformats.org/officeDocument/2006/relationships/hyperlink" Target="https://drive.google.com/drive/folders/1pvbUBoHCQi6yMc3WXtiPp33V_Qi3-Pog?usp=drive_link" TargetMode="External"/><Relationship Id="rId59" Type="http://schemas.openxmlformats.org/officeDocument/2006/relationships/hyperlink" Target="https://drive.google.com/file/d/1dSX2RS0th2-U7X8BbcmviKsps2_sR7Mb/view?usp=drive_link" TargetMode="External"/><Relationship Id="rId67" Type="http://schemas.openxmlformats.org/officeDocument/2006/relationships/hyperlink" Target="https://drive.google.com/drive/u/0/folders/103Csu94LXSvPE0i18P82oooFQjFIHasi" TargetMode="External"/><Relationship Id="rId20" Type="http://schemas.openxmlformats.org/officeDocument/2006/relationships/hyperlink" Target="https://drive.google.com/file/d/1alc-Bq__eDDPe4NcJwoIL9VwKh2CMAs4/view?usp=drive_link" TargetMode="External"/><Relationship Id="rId41" Type="http://schemas.openxmlformats.org/officeDocument/2006/relationships/hyperlink" Target="https://drive.google.com/drive/folders/1pvbUBoHCQi6yMc3WXtiPp33V_Qi3-Pog?usp=drive_link" TargetMode="External"/><Relationship Id="rId54" Type="http://schemas.openxmlformats.org/officeDocument/2006/relationships/hyperlink" Target="https://drive.google.com/drive/folders/1Zvu232J_azSz_UmpCQwiVFIq62KBGEoC?usp=drive_link" TargetMode="External"/><Relationship Id="rId62" Type="http://schemas.openxmlformats.org/officeDocument/2006/relationships/hyperlink" Target="https://drive.google.com/drive/folders/1nivQeknHacds3VXJQtIDbikg-NAaa_pH?usp=sharing" TargetMode="External"/><Relationship Id="rId70" Type="http://schemas.openxmlformats.org/officeDocument/2006/relationships/hyperlink" Target="https://drive.google.com/drive/u/0/folders/103Csu94LXSvPE0i18P82oooFQjFIHasi" TargetMode="External"/><Relationship Id="rId75" Type="http://schemas.openxmlformats.org/officeDocument/2006/relationships/drawing" Target="../drawings/drawing4.xml"/><Relationship Id="rId1" Type="http://schemas.openxmlformats.org/officeDocument/2006/relationships/hyperlink" Target="https://drive.google.com/drive/folders/1EeP7cZMXTcrS_w1cs0zyk-Fb-8ujuNLK?usp=drive_link" TargetMode="External"/><Relationship Id="rId6" Type="http://schemas.openxmlformats.org/officeDocument/2006/relationships/hyperlink" Target="https://drive.google.com/drive/folders/1WPnl25XZV2d8-IxI7u9QqhbSkN3wEWfs?usp=drive_link" TargetMode="External"/><Relationship Id="rId15" Type="http://schemas.openxmlformats.org/officeDocument/2006/relationships/hyperlink" Target="https://drive.google.com/file/d/1alc-Bq__eDDPe4NcJwoIL9VwKh2CMAs4/view?usp=drive_link" TargetMode="External"/><Relationship Id="rId23" Type="http://schemas.openxmlformats.org/officeDocument/2006/relationships/hyperlink" Target="https://drive.google.com/file/d/1l8AwH2ISn2mMkx4vE0zwp2yZeoPXjBsY/view?usp=drive_link" TargetMode="External"/><Relationship Id="rId28" Type="http://schemas.openxmlformats.org/officeDocument/2006/relationships/hyperlink" Target="https://drive.google.com/file/d/1l8AwH2ISn2mMkx4vE0zwp2yZeoPXjBsY/view?usp=drive_link" TargetMode="External"/><Relationship Id="rId36" Type="http://schemas.openxmlformats.org/officeDocument/2006/relationships/hyperlink" Target="https://drive.google.com/drive/folders/1tu0vmDODzoQTg8HvFaCAOfJHOXnyPSjr?usp=drive_link" TargetMode="External"/><Relationship Id="rId49" Type="http://schemas.openxmlformats.org/officeDocument/2006/relationships/hyperlink" Target="https://drive.google.com/drive/folders/1Zvu232J_azSz_UmpCQwiVFIq62KBGEoC?usp=drive_link" TargetMode="External"/><Relationship Id="rId57" Type="http://schemas.openxmlformats.org/officeDocument/2006/relationships/hyperlink" Target="https://drive.google.com/file/d/13Gir1wH1qQIBH-JEAe0h1JgvwYYprJ34/view?usp=drive_link" TargetMode="External"/><Relationship Id="rId10" Type="http://schemas.openxmlformats.org/officeDocument/2006/relationships/hyperlink" Target="https://drive.google.com/file/d/1D4csdl7n3Tw3a8fSD0TMEZPk6eWsAFzf/view?usp=drive_link" TargetMode="External"/><Relationship Id="rId31" Type="http://schemas.openxmlformats.org/officeDocument/2006/relationships/hyperlink" Target="https://drive.google.com/drive/folders/1tu0vmDODzoQTg8HvFaCAOfJHOXnyPSjr?usp=drive_link" TargetMode="External"/><Relationship Id="rId44" Type="http://schemas.openxmlformats.org/officeDocument/2006/relationships/hyperlink" Target="https://drive.google.com/drive/folders/1pvbUBoHCQi6yMc3WXtiPp33V_Qi3-Pog?usp=drive_link" TargetMode="External"/><Relationship Id="rId52" Type="http://schemas.openxmlformats.org/officeDocument/2006/relationships/hyperlink" Target="https://drive.google.com/drive/folders/1Zvu232J_azSz_UmpCQwiVFIq62KBGEoC?usp=drive_link" TargetMode="External"/><Relationship Id="rId60" Type="http://schemas.openxmlformats.org/officeDocument/2006/relationships/hyperlink" Target="https://drive.google.com/file/d/1dSX2RS0th2-U7X8BbcmviKsps2_sR7Mb/view?usp=drive_link" TargetMode="External"/><Relationship Id="rId65" Type="http://schemas.openxmlformats.org/officeDocument/2006/relationships/hyperlink" Target="https://drive.google.com/drive/folders/1nivQeknHacds3VXJQtIDbikg-NAaa_pH?usp=sharing" TargetMode="External"/><Relationship Id="rId73" Type="http://schemas.openxmlformats.org/officeDocument/2006/relationships/hyperlink" Target="https://drive.google.com/drive/u/0/folders/103Csu94LXSvPE0i18P82oooFQjFIHasi" TargetMode="External"/><Relationship Id="rId4" Type="http://schemas.openxmlformats.org/officeDocument/2006/relationships/hyperlink" Target="https://drive.google.com/drive/folders/1WPnl25XZV2d8-IxI7u9QqhbSkN3wEWfs?usp=drive_link" TargetMode="External"/><Relationship Id="rId9" Type="http://schemas.openxmlformats.org/officeDocument/2006/relationships/hyperlink" Target="https://drive.google.com/file/d/1D4csdl7n3Tw3a8fSD0TMEZPk6eWsAFzf/view?usp=drive_link" TargetMode="External"/><Relationship Id="rId13" Type="http://schemas.openxmlformats.org/officeDocument/2006/relationships/hyperlink" Target="https://drive.google.com/file/d/1D4csdl7n3Tw3a8fSD0TMEZPk6eWsAFzf/view?usp=drive_link" TargetMode="External"/><Relationship Id="rId18" Type="http://schemas.openxmlformats.org/officeDocument/2006/relationships/hyperlink" Target="https://drive.google.com/file/d/1alc-Bq__eDDPe4NcJwoIL9VwKh2CMAs4/view?usp=drive_link" TargetMode="External"/><Relationship Id="rId39" Type="http://schemas.openxmlformats.org/officeDocument/2006/relationships/hyperlink" Target="https://drive.google.com/drive/folders/1pvbUBoHCQi6yMc3WXtiPp33V_Qi3-Pog?usp=drive_link" TargetMode="External"/><Relationship Id="rId34" Type="http://schemas.openxmlformats.org/officeDocument/2006/relationships/hyperlink" Target="https://drive.google.com/drive/folders/1tu0vmDODzoQTg8HvFaCAOfJHOXnyPSjr?usp=drive_link" TargetMode="External"/><Relationship Id="rId50" Type="http://schemas.openxmlformats.org/officeDocument/2006/relationships/hyperlink" Target="https://drive.google.com/drive/folders/1Zvu232J_azSz_UmpCQwiVFIq62KBGEoC?usp=drive_link" TargetMode="External"/><Relationship Id="rId55" Type="http://schemas.openxmlformats.org/officeDocument/2006/relationships/hyperlink" Target="https://drive.google.com/file/d/13Gir1wH1qQIBH-JEAe0h1JgvwYYprJ34/view?usp=drive_link" TargetMode="External"/><Relationship Id="rId7" Type="http://schemas.openxmlformats.org/officeDocument/2006/relationships/hyperlink" Target="https://drive.google.com/file/d/1D4csdl7n3Tw3a8fSD0TMEZPk6eWsAFzf/view?usp=drive_link" TargetMode="External"/><Relationship Id="rId71" Type="http://schemas.openxmlformats.org/officeDocument/2006/relationships/hyperlink" Target="https://drive.google.com/drive/u/0/folders/103Csu94LXSvPE0i18P82oooFQjFIHasi"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file/d/1Mrr6FCTWIr_DJSgpb4ebwqO7-TJpijiA/view?usp=drive_link" TargetMode="External"/><Relationship Id="rId18" Type="http://schemas.openxmlformats.org/officeDocument/2006/relationships/hyperlink" Target="https://drive.google.com/file/d/1n3VkyXSsZXjQlsf2butcQGsFZSI59_Am/view?usp=drive_link" TargetMode="External"/><Relationship Id="rId26" Type="http://schemas.openxmlformats.org/officeDocument/2006/relationships/hyperlink" Target="https://drive.google.com/file/d/1CLS8fB6D0KhMuuszh0vcx-gDJdbyPjLh/view?usp=drive_link" TargetMode="External"/><Relationship Id="rId39" Type="http://schemas.openxmlformats.org/officeDocument/2006/relationships/hyperlink" Target="https://drive.google.com/file/d/1Hp8BILxwRtRUCfchr0Wt3wJeQG8-NuVS/view?usp=drive_link" TargetMode="External"/><Relationship Id="rId21" Type="http://schemas.openxmlformats.org/officeDocument/2006/relationships/hyperlink" Target="https://drive.google.com/file/d/1bkLWNHpybURFYNMNGfrLT5g9HzCqUCUw/view?usp=drive_link" TargetMode="External"/><Relationship Id="rId34" Type="http://schemas.openxmlformats.org/officeDocument/2006/relationships/hyperlink" Target="https://drive.google.com/file/d/1XG-7-8MuyTpt88l7u1ty_h_H58hF9_CR/view?usp=drive_link" TargetMode="External"/><Relationship Id="rId42" Type="http://schemas.openxmlformats.org/officeDocument/2006/relationships/hyperlink" Target="https://drive.google.com/file/d/1FY-amCRMcfx_VyohYPfozw4LhAgAAvD4/view?usp=drive_link" TargetMode="External"/><Relationship Id="rId47" Type="http://schemas.openxmlformats.org/officeDocument/2006/relationships/drawing" Target="../drawings/drawing5.xml"/><Relationship Id="rId7" Type="http://schemas.openxmlformats.org/officeDocument/2006/relationships/hyperlink" Target="https://drive.google.com/file/d/1z4STp0WsCD3y3pVxXGx19M0FaduA79jy/view?usp=drive_link" TargetMode="External"/><Relationship Id="rId2" Type="http://schemas.openxmlformats.org/officeDocument/2006/relationships/hyperlink" Target="https://drive.google.com/file/d/1XTBWSWMF44pxc6OUb7TSn9oKa1UCtpOG/view?usp=drive_link" TargetMode="External"/><Relationship Id="rId16" Type="http://schemas.openxmlformats.org/officeDocument/2006/relationships/hyperlink" Target="https://drive.google.com/file/d/1fCE2rQcBKNYVr67bhQIa6xSi6ZOFs9hV/view?usp=drive_link" TargetMode="External"/><Relationship Id="rId29" Type="http://schemas.openxmlformats.org/officeDocument/2006/relationships/hyperlink" Target="https://drive.google.com/file/d/1R3fb5YDDvE4vZilEPWFY_dmUHtImAmpP/view?usp=drive_link" TargetMode="External"/><Relationship Id="rId1" Type="http://schemas.openxmlformats.org/officeDocument/2006/relationships/hyperlink" Target="https://drive.google.com/file/d/1XTBWSWMF44pxc6OUb7TSn9oKa1UCtpOG/view?usp=drive_link" TargetMode="External"/><Relationship Id="rId6" Type="http://schemas.openxmlformats.org/officeDocument/2006/relationships/hyperlink" Target="https://drive.google.com/file/d/13KTPgk7ZdVUHfTZ6_B9VxpeDf0lXV9Cw/view?usp=drive_link" TargetMode="External"/><Relationship Id="rId11" Type="http://schemas.openxmlformats.org/officeDocument/2006/relationships/hyperlink" Target="https://drive.google.com/file/d/1BGv8c3TBHXxcw3ukG4IVbUK_m-xT2BIh/view?usp=drive_link" TargetMode="External"/><Relationship Id="rId24" Type="http://schemas.openxmlformats.org/officeDocument/2006/relationships/hyperlink" Target="https://drive.google.com/file/d/1R2O93w0GqkwSJSBm2QuiT3tWgCid6Flw/view?usp=drive_link" TargetMode="External"/><Relationship Id="rId32" Type="http://schemas.openxmlformats.org/officeDocument/2006/relationships/hyperlink" Target="https://drive.google.com/file/d/1hayb2phWPxq1cfdeLArt8hmHUfeeOXRm/view?usp=drive_link" TargetMode="External"/><Relationship Id="rId37" Type="http://schemas.openxmlformats.org/officeDocument/2006/relationships/hyperlink" Target="https://ajax.systems/products/fireprotect-2-smoke-heat/" TargetMode="External"/><Relationship Id="rId40" Type="http://schemas.openxmlformats.org/officeDocument/2006/relationships/hyperlink" Target="https://drive.google.com/file/d/1Hp8BILxwRtRUCfchr0Wt3wJeQG8-NuVS/view?usp=drive_link" TargetMode="External"/><Relationship Id="rId45" Type="http://schemas.openxmlformats.org/officeDocument/2006/relationships/hyperlink" Target="https://drive.google.com/file/d/1obspiP3uELJ0RdvsdeG1Rxh676DZMzP1/view?usp=drive_link" TargetMode="External"/><Relationship Id="rId5" Type="http://schemas.openxmlformats.org/officeDocument/2006/relationships/hyperlink" Target="https://drive.google.com/file/d/13KTPgk7ZdVUHfTZ6_B9VxpeDf0lXV9Cw/view?usp=drive_link" TargetMode="External"/><Relationship Id="rId15" Type="http://schemas.openxmlformats.org/officeDocument/2006/relationships/hyperlink" Target="https://drive.google.com/file/d/1fCE2rQcBKNYVr67bhQIa6xSi6ZOFs9hV/view?usp=drive_link" TargetMode="External"/><Relationship Id="rId23" Type="http://schemas.openxmlformats.org/officeDocument/2006/relationships/hyperlink" Target="https://drive.google.com/file/d/1R2O93w0GqkwSJSBm2QuiT3tWgCid6Flw/view?usp=drive_link" TargetMode="External"/><Relationship Id="rId28" Type="http://schemas.openxmlformats.org/officeDocument/2006/relationships/hyperlink" Target="https://drive.google.com/file/d/1f65gOIZ9f0idPXd0WC1r7DV-t-dlnWCy/view?usp=drive_link" TargetMode="External"/><Relationship Id="rId36" Type="http://schemas.openxmlformats.org/officeDocument/2006/relationships/hyperlink" Target="https://ajax.systems/products/fireprotect-2-smoke-heat-co/" TargetMode="External"/><Relationship Id="rId10" Type="http://schemas.openxmlformats.org/officeDocument/2006/relationships/hyperlink" Target="https://drive.google.com/file/d/1KWc0mvZjC25h0XMZ-fpCfL84fjs8dEi6/view?usp=drive_link" TargetMode="External"/><Relationship Id="rId19" Type="http://schemas.openxmlformats.org/officeDocument/2006/relationships/hyperlink" Target="https://drive.google.com/file/d/1pgD19gALIO9tMv-H6eHPGlXrpqpba4ue/view?usp=drive_link" TargetMode="External"/><Relationship Id="rId31" Type="http://schemas.openxmlformats.org/officeDocument/2006/relationships/hyperlink" Target="https://drive.google.com/file/d/1hayb2phWPxq1cfdeLArt8hmHUfeeOXRm/view?usp=drive_link" TargetMode="External"/><Relationship Id="rId44" Type="http://schemas.openxmlformats.org/officeDocument/2006/relationships/hyperlink" Target="https://drive.google.com/file/d/1K8BVviMwdqIbLoCd2QNHkqH_zNzx_bEe/view?usp=drive_link" TargetMode="External"/><Relationship Id="rId4" Type="http://schemas.openxmlformats.org/officeDocument/2006/relationships/hyperlink" Target="https://drive.google.com/file/d/1TywewevxcRuTFoy8tAeeC14aVPXiripD/view?usp=drive_link" TargetMode="External"/><Relationship Id="rId9" Type="http://schemas.openxmlformats.org/officeDocument/2006/relationships/hyperlink" Target="https://drive.google.com/file/d/1KWc0mvZjC25h0XMZ-fpCfL84fjs8dEi6/view?usp=drive_link" TargetMode="External"/><Relationship Id="rId14" Type="http://schemas.openxmlformats.org/officeDocument/2006/relationships/hyperlink" Target="https://drive.google.com/file/d/1Mrr6FCTWIr_DJSgpb4ebwqO7-TJpijiA/view?usp=drive_link" TargetMode="External"/><Relationship Id="rId22" Type="http://schemas.openxmlformats.org/officeDocument/2006/relationships/hyperlink" Target="https://drive.google.com/file/d/1bkLWNHpybURFYNMNGfrLT5g9HzCqUCUw/view?usp=drive_link" TargetMode="External"/><Relationship Id="rId27" Type="http://schemas.openxmlformats.org/officeDocument/2006/relationships/hyperlink" Target="https://drive.google.com/file/d/1f65gOIZ9f0idPXd0WC1r7DV-t-dlnWCy/view?usp=drive_link" TargetMode="External"/><Relationship Id="rId30" Type="http://schemas.openxmlformats.org/officeDocument/2006/relationships/hyperlink" Target="https://drive.google.com/file/d/1R3fb5YDDvE4vZilEPWFY_dmUHtImAmpP/view?usp=drive_link" TargetMode="External"/><Relationship Id="rId35" Type="http://schemas.openxmlformats.org/officeDocument/2006/relationships/hyperlink" Target="https://ajax.systems/products/fireprotect-2-smoke-heat-co/" TargetMode="External"/><Relationship Id="rId43" Type="http://schemas.openxmlformats.org/officeDocument/2006/relationships/hyperlink" Target="https://drive.google.com/file/d/1Pzi4l-2WNkIVfRx3KTXoCa0aN6IPwoPU/view?usp=drive_link" TargetMode="External"/><Relationship Id="rId8" Type="http://schemas.openxmlformats.org/officeDocument/2006/relationships/hyperlink" Target="https://drive.google.com/file/d/1z4STp0WsCD3y3pVxXGx19M0FaduA79jy/view?usp=drive_link" TargetMode="External"/><Relationship Id="rId3" Type="http://schemas.openxmlformats.org/officeDocument/2006/relationships/hyperlink" Target="https://drive.google.com/file/d/1TywewevxcRuTFoy8tAeeC14aVPXiripD/view?usp=drive_link" TargetMode="External"/><Relationship Id="rId12" Type="http://schemas.openxmlformats.org/officeDocument/2006/relationships/hyperlink" Target="https://drive.google.com/file/d/1BGv8c3TBHXxcw3ukG4IVbUK_m-xT2BIh/view?usp=drive_link" TargetMode="External"/><Relationship Id="rId17" Type="http://schemas.openxmlformats.org/officeDocument/2006/relationships/hyperlink" Target="https://drive.google.com/file/d/1n3VkyXSsZXjQlsf2butcQGsFZSI59_Am/view?usp=drive_link" TargetMode="External"/><Relationship Id="rId25" Type="http://schemas.openxmlformats.org/officeDocument/2006/relationships/hyperlink" Target="https://drive.google.com/file/d/1CLS8fB6D0KhMuuszh0vcx-gDJdbyPjLh/view?usp=drive_link" TargetMode="External"/><Relationship Id="rId33" Type="http://schemas.openxmlformats.org/officeDocument/2006/relationships/hyperlink" Target="https://drive.google.com/file/d/1XG-7-8MuyTpt88l7u1ty_h_H58hF9_CR/view?usp=drive_link" TargetMode="External"/><Relationship Id="rId38" Type="http://schemas.openxmlformats.org/officeDocument/2006/relationships/hyperlink" Target="https://ajax.systems/products/fireprotect-2-smoke-heat/" TargetMode="External"/><Relationship Id="rId46" Type="http://schemas.openxmlformats.org/officeDocument/2006/relationships/hyperlink" Target="https://drive.google.com/file/d/1obspiP3uELJ0RdvsdeG1Rxh676DZMzP1/view?usp=drive_link" TargetMode="External"/><Relationship Id="rId20" Type="http://schemas.openxmlformats.org/officeDocument/2006/relationships/hyperlink" Target="https://drive.google.com/file/d/1pgD19gALIO9tMv-H6eHPGlXrpqpba4ue/view?usp=drive_link" TargetMode="External"/><Relationship Id="rId41" Type="http://schemas.openxmlformats.org/officeDocument/2006/relationships/hyperlink" Target="https://drive.google.com/file/d/1dj2nRlHeU6wTEptehhzQDy7Iz478N6RW/view?usp=drive_link"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rive.google.com/drive/u/0/folders/1GitiTs682isxWYkBpWpbcC5p9DdFR8NI" TargetMode="External"/><Relationship Id="rId18" Type="http://schemas.openxmlformats.org/officeDocument/2006/relationships/hyperlink" Target="https://drive.google.com/drive/u/0/folders/1GitiTs682isxWYkBpWpbcC5p9DdFR8NI" TargetMode="External"/><Relationship Id="rId26" Type="http://schemas.openxmlformats.org/officeDocument/2006/relationships/hyperlink" Target="https://drive.google.com/drive/u/0/folders/1GitiTs682isxWYkBpWpbcC5p9DdFR8NI" TargetMode="External"/><Relationship Id="rId3" Type="http://schemas.openxmlformats.org/officeDocument/2006/relationships/hyperlink" Target="https://drive.google.com/drive/u/0/folders/1GitiTs682isxWYkBpWpbcC5p9DdFR8NI" TargetMode="External"/><Relationship Id="rId21" Type="http://schemas.openxmlformats.org/officeDocument/2006/relationships/hyperlink" Target="https://drive.google.com/drive/u/0/folders/1GitiTs682isxWYkBpWpbcC5p9DdFR8NI" TargetMode="External"/><Relationship Id="rId34" Type="http://schemas.openxmlformats.org/officeDocument/2006/relationships/hyperlink" Target="https://drive.google.com/file/d/1FY-amCRMcfx_VyohYPfozw4LhAgAAvD4/view?usp=drive_link" TargetMode="External"/><Relationship Id="rId7" Type="http://schemas.openxmlformats.org/officeDocument/2006/relationships/hyperlink" Target="https://drive.google.com/drive/u/0/folders/1GitiTs682isxWYkBpWpbcC5p9DdFR8NI" TargetMode="External"/><Relationship Id="rId12" Type="http://schemas.openxmlformats.org/officeDocument/2006/relationships/hyperlink" Target="https://drive.google.com/drive/u/0/folders/1GitiTs682isxWYkBpWpbcC5p9DdFR8NI" TargetMode="External"/><Relationship Id="rId17" Type="http://schemas.openxmlformats.org/officeDocument/2006/relationships/hyperlink" Target="https://drive.google.com/drive/u/0/folders/1GitiTs682isxWYkBpWpbcC5p9DdFR8NI" TargetMode="External"/><Relationship Id="rId25" Type="http://schemas.openxmlformats.org/officeDocument/2006/relationships/hyperlink" Target="https://drive.google.com/drive/u/0/folders/1GitiTs682isxWYkBpWpbcC5p9DdFR8NI" TargetMode="External"/><Relationship Id="rId33" Type="http://schemas.openxmlformats.org/officeDocument/2006/relationships/hyperlink" Target="https://drive.google.com/file/d/1dj2nRlHeU6wTEptehhzQDy7Iz478N6RW/view?usp=drive_link" TargetMode="External"/><Relationship Id="rId2" Type="http://schemas.openxmlformats.org/officeDocument/2006/relationships/hyperlink" Target="https://drive.google.com/drive/u/0/folders/1GitiTs682isxWYkBpWpbcC5p9DdFR8NI" TargetMode="External"/><Relationship Id="rId16" Type="http://schemas.openxmlformats.org/officeDocument/2006/relationships/hyperlink" Target="https://drive.google.com/drive/u/0/folders/1GitiTs682isxWYkBpWpbcC5p9DdFR8NI" TargetMode="External"/><Relationship Id="rId20" Type="http://schemas.openxmlformats.org/officeDocument/2006/relationships/hyperlink" Target="https://drive.google.com/drive/u/0/folders/1GitiTs682isxWYkBpWpbcC5p9DdFR8NI" TargetMode="External"/><Relationship Id="rId29" Type="http://schemas.openxmlformats.org/officeDocument/2006/relationships/hyperlink" Target="https://drive.google.com/drive/u/0/folders/1GitiTs682isxWYkBpWpbcC5p9DdFR8NI" TargetMode="External"/><Relationship Id="rId1" Type="http://schemas.openxmlformats.org/officeDocument/2006/relationships/hyperlink" Target="https://drive.google.com/drive/u/0/folders/1GitiTs682isxWYkBpWpbcC5p9DdFR8NI" TargetMode="External"/><Relationship Id="rId6" Type="http://schemas.openxmlformats.org/officeDocument/2006/relationships/hyperlink" Target="http://127877.316.bl/" TargetMode="External"/><Relationship Id="rId11" Type="http://schemas.openxmlformats.org/officeDocument/2006/relationships/hyperlink" Target="https://drive.google.com/drive/u/0/folders/1GitiTs682isxWYkBpWpbcC5p9DdFR8NI" TargetMode="External"/><Relationship Id="rId24" Type="http://schemas.openxmlformats.org/officeDocument/2006/relationships/hyperlink" Target="https://drive.google.com/drive/u/0/folders/1GitiTs682isxWYkBpWpbcC5p9DdFR8NI" TargetMode="External"/><Relationship Id="rId32" Type="http://schemas.openxmlformats.org/officeDocument/2006/relationships/hyperlink" Target="https://drive.google.com/drive/u/0/folders/1GitiTs682isxWYkBpWpbcC5p9DdFR8NI" TargetMode="External"/><Relationship Id="rId5" Type="http://schemas.openxmlformats.org/officeDocument/2006/relationships/hyperlink" Target="https://drive.google.com/drive/u/0/folders/1GitiTs682isxWYkBpWpbcC5p9DdFR8NI" TargetMode="External"/><Relationship Id="rId15" Type="http://schemas.openxmlformats.org/officeDocument/2006/relationships/hyperlink" Target="https://drive.google.com/drive/u/0/folders/1GitiTs682isxWYkBpWpbcC5p9DdFR8NI" TargetMode="External"/><Relationship Id="rId23" Type="http://schemas.openxmlformats.org/officeDocument/2006/relationships/hyperlink" Target="https://drive.google.com/drive/u/0/folders/1GitiTs682isxWYkBpWpbcC5p9DdFR8NI" TargetMode="External"/><Relationship Id="rId28" Type="http://schemas.openxmlformats.org/officeDocument/2006/relationships/hyperlink" Target="https://drive.google.com/drive/u/0/folders/1GitiTs682isxWYkBpWpbcC5p9DdFR8NI" TargetMode="External"/><Relationship Id="rId10" Type="http://schemas.openxmlformats.org/officeDocument/2006/relationships/hyperlink" Target="https://drive.google.com/drive/u/0/folders/1GitiTs682isxWYkBpWpbcC5p9DdFR8NI" TargetMode="External"/><Relationship Id="rId19" Type="http://schemas.openxmlformats.org/officeDocument/2006/relationships/hyperlink" Target="https://drive.google.com/drive/u/0/folders/1GitiTs682isxWYkBpWpbcC5p9DdFR8NI" TargetMode="External"/><Relationship Id="rId31" Type="http://schemas.openxmlformats.org/officeDocument/2006/relationships/hyperlink" Target="https://drive.google.com/drive/u/0/folders/1GitiTs682isxWYkBpWpbcC5p9DdFR8NI" TargetMode="External"/><Relationship Id="rId4" Type="http://schemas.openxmlformats.org/officeDocument/2006/relationships/hyperlink" Target="https://drive.google.com/drive/u/0/folders/1GitiTs682isxWYkBpWpbcC5p9DdFR8NI" TargetMode="External"/><Relationship Id="rId9" Type="http://schemas.openxmlformats.org/officeDocument/2006/relationships/hyperlink" Target="https://drive.google.com/drive/u/0/folders/1GitiTs682isxWYkBpWpbcC5p9DdFR8NI" TargetMode="External"/><Relationship Id="rId14" Type="http://schemas.openxmlformats.org/officeDocument/2006/relationships/hyperlink" Target="https://drive.google.com/drive/u/0/folders/1GitiTs682isxWYkBpWpbcC5p9DdFR8NI" TargetMode="External"/><Relationship Id="rId22" Type="http://schemas.openxmlformats.org/officeDocument/2006/relationships/hyperlink" Target="https://drive.google.com/drive/u/0/folders/1GitiTs682isxWYkBpWpbcC5p9DdFR8NI" TargetMode="External"/><Relationship Id="rId27" Type="http://schemas.openxmlformats.org/officeDocument/2006/relationships/hyperlink" Target="https://drive.google.com/drive/u/0/folders/1GitiTs682isxWYkBpWpbcC5p9DdFR8NI" TargetMode="External"/><Relationship Id="rId30" Type="http://schemas.openxmlformats.org/officeDocument/2006/relationships/hyperlink" Target="https://drive.google.com/drive/u/0/folders/1GitiTs682isxWYkBpWpbcC5p9DdFR8NI" TargetMode="External"/><Relationship Id="rId35" Type="http://schemas.openxmlformats.org/officeDocument/2006/relationships/drawing" Target="../drawings/drawing6.xml"/><Relationship Id="rId8" Type="http://schemas.openxmlformats.org/officeDocument/2006/relationships/hyperlink" Target="https://drive.google.com/drive/u/0/folders/1GitiTs682isxWYkBpWpbcC5p9DdFR8NI"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file/d/1zz4qlRsTBP_GrcabogKGNq37Zi441nay/view?usp=drive_link" TargetMode="External"/><Relationship Id="rId21" Type="http://schemas.openxmlformats.org/officeDocument/2006/relationships/hyperlink" Target="https://drive.google.com/file/d/19ehRaQvlQ4bOKWMpSXPhECOgG8GGqWC3/view?usp=drive_link" TargetMode="External"/><Relationship Id="rId63" Type="http://schemas.openxmlformats.org/officeDocument/2006/relationships/hyperlink" Target="https://drive.google.com/file/d/1R2HKGPZg3wxWkjEcp-YS5wjJYq9RK7sb/view?usp=drive_link" TargetMode="External"/><Relationship Id="rId159" Type="http://schemas.openxmlformats.org/officeDocument/2006/relationships/hyperlink" Target="https://drive.google.com/file/d/17KMKtwRFWjG2bOM4zHvUwcuF27IgkFUk/view" TargetMode="External"/><Relationship Id="rId170" Type="http://schemas.openxmlformats.org/officeDocument/2006/relationships/hyperlink" Target="https://drive.google.com/file/d/17KMKtwRFWjG2bOM4zHvUwcuF27IgkFUk/view" TargetMode="External"/><Relationship Id="rId226" Type="http://schemas.openxmlformats.org/officeDocument/2006/relationships/hyperlink" Target="https://drive.google.com/file/d/1fKN6trjE7XpNHNJt0lFnowgLN9R8P2F0/view?usp=drive_link" TargetMode="External"/><Relationship Id="rId268" Type="http://schemas.openxmlformats.org/officeDocument/2006/relationships/hyperlink" Target="https://drive.google.com/file/d/1MA0090m_XccLwGdUxfKZpfDpuhNWKEsR/view" TargetMode="External"/><Relationship Id="rId32" Type="http://schemas.openxmlformats.org/officeDocument/2006/relationships/hyperlink" Target="https://drive.google.com/file/d/1R2HKGPZg3wxWkjEcp-YS5wjJYq9RK7sb/view?usp=drive_link" TargetMode="External"/><Relationship Id="rId74" Type="http://schemas.openxmlformats.org/officeDocument/2006/relationships/hyperlink" Target="https://drive.google.com/file/d/1fKN6trjE7XpNHNJt0lFnowgLN9R8P2F0/view?usp=drive_link" TargetMode="External"/><Relationship Id="rId128" Type="http://schemas.openxmlformats.org/officeDocument/2006/relationships/hyperlink" Target="https://drive.google.com/file/d/1zz4qlRsTBP_GrcabogKGNq37Zi441nay/view?usp=drive_link" TargetMode="External"/><Relationship Id="rId5" Type="http://schemas.openxmlformats.org/officeDocument/2006/relationships/hyperlink" Target="https://drive.google.com/file/d/1IcFdeKB0Ywc-0p_XtrhLpYSbtFlvX8yz/view?usp=drive_link" TargetMode="External"/><Relationship Id="rId181" Type="http://schemas.openxmlformats.org/officeDocument/2006/relationships/hyperlink" Target="https://drive.google.com/file/d/17KMKtwRFWjG2bOM4zHvUwcuF27IgkFUk/view" TargetMode="External"/><Relationship Id="rId237" Type="http://schemas.openxmlformats.org/officeDocument/2006/relationships/hyperlink" Target="https://drive.google.com/file/d/1fKN6trjE7XpNHNJt0lFnowgLN9R8P2F0/view?usp=drive_link" TargetMode="External"/><Relationship Id="rId279" Type="http://schemas.openxmlformats.org/officeDocument/2006/relationships/hyperlink" Target="https://drive.google.com/file/d/1MA0090m_XccLwGdUxfKZpfDpuhNWKEsR/view" TargetMode="External"/><Relationship Id="rId22" Type="http://schemas.openxmlformats.org/officeDocument/2006/relationships/hyperlink" Target="http://87795.142.nc/" TargetMode="External"/><Relationship Id="rId43" Type="http://schemas.openxmlformats.org/officeDocument/2006/relationships/hyperlink" Target="https://drive.google.com/file/d/1fKN6trjE7XpNHNJt0lFnowgLN9R8P2F0/view?usp=drive_link" TargetMode="External"/><Relationship Id="rId64" Type="http://schemas.openxmlformats.org/officeDocument/2006/relationships/hyperlink" Target="https://drive.google.com/file/d/1R2HKGPZg3wxWkjEcp-YS5wjJYq9RK7sb/view?usp=drive_link" TargetMode="External"/><Relationship Id="rId118" Type="http://schemas.openxmlformats.org/officeDocument/2006/relationships/hyperlink" Target="https://drive.google.com/file/d/1zz4qlRsTBP_GrcabogKGNq37Zi441nay/view?usp=drive_link" TargetMode="External"/><Relationship Id="rId139" Type="http://schemas.openxmlformats.org/officeDocument/2006/relationships/hyperlink" Target="https://drive.google.com/file/d/1gtxWN1dpx6fOVOKU8yERZkDBTUjxD5oE/view?usp=drive_link" TargetMode="External"/><Relationship Id="rId85" Type="http://schemas.openxmlformats.org/officeDocument/2006/relationships/hyperlink" Target="https://drive.google.com/file/d/16RVHcP-g2nS9BujM1_7ig84qBTA09HpQ/view?usp=drive_link" TargetMode="External"/><Relationship Id="rId150" Type="http://schemas.openxmlformats.org/officeDocument/2006/relationships/hyperlink" Target="https://drive.google.com/file/d/1gtxWN1dpx6fOVOKU8yERZkDBTUjxD5oE/view?usp=drive_link" TargetMode="External"/><Relationship Id="rId171" Type="http://schemas.openxmlformats.org/officeDocument/2006/relationships/hyperlink" Target="https://drive.google.com/file/d/17KMKtwRFWjG2bOM4zHvUwcuF27IgkFUk/view" TargetMode="External"/><Relationship Id="rId192" Type="http://schemas.openxmlformats.org/officeDocument/2006/relationships/hyperlink" Target="https://drive.google.com/file/d/17KMKtwRFWjG2bOM4zHvUwcuF27IgkFUk/view" TargetMode="External"/><Relationship Id="rId206" Type="http://schemas.openxmlformats.org/officeDocument/2006/relationships/hyperlink" Target="https://drive.google.com/file/d/1R2HKGPZg3wxWkjEcp-YS5wjJYq9RK7sb/view?usp=drive_link" TargetMode="External"/><Relationship Id="rId227" Type="http://schemas.openxmlformats.org/officeDocument/2006/relationships/hyperlink" Target="https://drive.google.com/file/d/1fKN6trjE7XpNHNJt0lFnowgLN9R8P2F0/view?usp=drive_link" TargetMode="External"/><Relationship Id="rId248" Type="http://schemas.openxmlformats.org/officeDocument/2006/relationships/hyperlink" Target="https://drive.google.com/file/d/16RVHcP-g2nS9BujM1_7ig84qBTA09HpQ/view?usp=drive_link" TargetMode="External"/><Relationship Id="rId269" Type="http://schemas.openxmlformats.org/officeDocument/2006/relationships/hyperlink" Target="https://drive.google.com/file/d/1MA0090m_XccLwGdUxfKZpfDpuhNWKEsR/view" TargetMode="External"/><Relationship Id="rId12" Type="http://schemas.openxmlformats.org/officeDocument/2006/relationships/hyperlink" Target="https://drive.google.com/file/d/1nOjRXaJCwnsN2qMYMS7yFr9gOFwSuGGT/view?usp=drive_link" TargetMode="External"/><Relationship Id="rId33" Type="http://schemas.openxmlformats.org/officeDocument/2006/relationships/hyperlink" Target="https://drive.google.com/file/d/1R2HKGPZg3wxWkjEcp-YS5wjJYq9RK7sb/view?usp=drive_link" TargetMode="External"/><Relationship Id="rId108" Type="http://schemas.openxmlformats.org/officeDocument/2006/relationships/hyperlink" Target="https://drive.google.com/file/d/1zz4qlRsTBP_GrcabogKGNq37Zi441nay/view?usp=drive_link" TargetMode="External"/><Relationship Id="rId129" Type="http://schemas.openxmlformats.org/officeDocument/2006/relationships/hyperlink" Target="https://drive.google.com/file/d/1zz4qlRsTBP_GrcabogKGNq37Zi441nay/view?usp=drive_link" TargetMode="External"/><Relationship Id="rId280" Type="http://schemas.openxmlformats.org/officeDocument/2006/relationships/hyperlink" Target="https://drive.google.com/file/d/1MA0090m_XccLwGdUxfKZpfDpuhNWKEsR/view" TargetMode="External"/><Relationship Id="rId54" Type="http://schemas.openxmlformats.org/officeDocument/2006/relationships/hyperlink" Target="https://drive.google.com/file/d/1fKN6trjE7XpNHNJt0lFnowgLN9R8P2F0/view?usp=drive_link" TargetMode="External"/><Relationship Id="rId75" Type="http://schemas.openxmlformats.org/officeDocument/2006/relationships/hyperlink" Target="https://drive.google.com/file/d/1fKN6trjE7XpNHNJt0lFnowgLN9R8P2F0/view?usp=drive_link" TargetMode="External"/><Relationship Id="rId96" Type="http://schemas.openxmlformats.org/officeDocument/2006/relationships/hyperlink" Target="https://drive.google.com/file/d/16RVHcP-g2nS9BujM1_7ig84qBTA09HpQ/view?usp=drive_link" TargetMode="External"/><Relationship Id="rId140" Type="http://schemas.openxmlformats.org/officeDocument/2006/relationships/hyperlink" Target="https://drive.google.com/file/d/1gtxWN1dpx6fOVOKU8yERZkDBTUjxD5oE/view?usp=drive_link" TargetMode="External"/><Relationship Id="rId161" Type="http://schemas.openxmlformats.org/officeDocument/2006/relationships/hyperlink" Target="https://drive.google.com/file/d/17KMKtwRFWjG2bOM4zHvUwcuF27IgkFUk/view" TargetMode="External"/><Relationship Id="rId182" Type="http://schemas.openxmlformats.org/officeDocument/2006/relationships/hyperlink" Target="https://drive.google.com/file/d/17KMKtwRFWjG2bOM4zHvUwcuF27IgkFUk/view" TargetMode="External"/><Relationship Id="rId217" Type="http://schemas.openxmlformats.org/officeDocument/2006/relationships/hyperlink" Target="https://drive.google.com/file/d/1R2HKGPZg3wxWkjEcp-YS5wjJYq9RK7sb/view?usp=drive_link" TargetMode="External"/><Relationship Id="rId6" Type="http://schemas.openxmlformats.org/officeDocument/2006/relationships/hyperlink" Target="https://drive.google.com/file/d/1IcFdeKB0Ywc-0p_XtrhLpYSbtFlvX8yz/view?usp=drive_link" TargetMode="External"/><Relationship Id="rId238" Type="http://schemas.openxmlformats.org/officeDocument/2006/relationships/hyperlink" Target="https://drive.google.com/file/d/16RVHcP-g2nS9BujM1_7ig84qBTA09HpQ/view?usp=drive_link" TargetMode="External"/><Relationship Id="rId259" Type="http://schemas.openxmlformats.org/officeDocument/2006/relationships/hyperlink" Target="https://drive.google.com/file/d/1MA0090m_XccLwGdUxfKZpfDpuhNWKEsR/view" TargetMode="External"/><Relationship Id="rId23" Type="http://schemas.openxmlformats.org/officeDocument/2006/relationships/hyperlink" Target="https://drive.google.com/file/d/16RVHcP-g2nS9BujM1_7ig84qBTA09HpQ/view?usp=drive_link" TargetMode="External"/><Relationship Id="rId119" Type="http://schemas.openxmlformats.org/officeDocument/2006/relationships/hyperlink" Target="https://drive.google.com/file/d/1zz4qlRsTBP_GrcabogKGNq37Zi441nay/view?usp=drive_link" TargetMode="External"/><Relationship Id="rId270" Type="http://schemas.openxmlformats.org/officeDocument/2006/relationships/hyperlink" Target="https://drive.google.com/file/d/1MA0090m_XccLwGdUxfKZpfDpuhNWKEsR/view" TargetMode="External"/><Relationship Id="rId44" Type="http://schemas.openxmlformats.org/officeDocument/2006/relationships/hyperlink" Target="https://drive.google.com/file/d/1R2HKGPZg3wxWkjEcp-YS5wjJYq9RK7sb/view?usp=drive_link" TargetMode="External"/><Relationship Id="rId65" Type="http://schemas.openxmlformats.org/officeDocument/2006/relationships/hyperlink" Target="https://drive.google.com/file/d/1R2HKGPZg3wxWkjEcp-YS5wjJYq9RK7sb/view?usp=drive_link" TargetMode="External"/><Relationship Id="rId86" Type="http://schemas.openxmlformats.org/officeDocument/2006/relationships/hyperlink" Target="https://drive.google.com/file/d/16RVHcP-g2nS9BujM1_7ig84qBTA09HpQ/view?usp=drive_link" TargetMode="External"/><Relationship Id="rId130" Type="http://schemas.openxmlformats.org/officeDocument/2006/relationships/hyperlink" Target="https://drive.google.com/file/d/1zz4qlRsTBP_GrcabogKGNq37Zi441nay/view?usp=drive_link" TargetMode="External"/><Relationship Id="rId151" Type="http://schemas.openxmlformats.org/officeDocument/2006/relationships/hyperlink" Target="https://drive.google.com/file/d/1gtxWN1dpx6fOVOKU8yERZkDBTUjxD5oE/view?usp=drive_link" TargetMode="External"/><Relationship Id="rId172" Type="http://schemas.openxmlformats.org/officeDocument/2006/relationships/hyperlink" Target="https://drive.google.com/file/d/17KMKtwRFWjG2bOM4zHvUwcuF27IgkFUk/view" TargetMode="External"/><Relationship Id="rId193" Type="http://schemas.openxmlformats.org/officeDocument/2006/relationships/hyperlink" Target="https://drive.google.com/file/d/17KMKtwRFWjG2bOM4zHvUwcuF27IgkFUk/view" TargetMode="External"/><Relationship Id="rId207" Type="http://schemas.openxmlformats.org/officeDocument/2006/relationships/hyperlink" Target="https://drive.google.com/file/d/1R2HKGPZg3wxWkjEcp-YS5wjJYq9RK7sb/view?usp=drive_link" TargetMode="External"/><Relationship Id="rId228" Type="http://schemas.openxmlformats.org/officeDocument/2006/relationships/hyperlink" Target="https://drive.google.com/file/d/1fKN6trjE7XpNHNJt0lFnowgLN9R8P2F0/view?usp=drive_link" TargetMode="External"/><Relationship Id="rId249" Type="http://schemas.openxmlformats.org/officeDocument/2006/relationships/hyperlink" Target="https://drive.google.com/file/d/16RVHcP-g2nS9BujM1_7ig84qBTA09HpQ/view?usp=drive_link" TargetMode="External"/><Relationship Id="rId13" Type="http://schemas.openxmlformats.org/officeDocument/2006/relationships/hyperlink" Target="https://drive.google.com/file/d/1nOjRXaJCwnsN2qMYMS7yFr9gOFwSuGGT/view?usp=drive_link" TargetMode="External"/><Relationship Id="rId109" Type="http://schemas.openxmlformats.org/officeDocument/2006/relationships/hyperlink" Target="https://drive.google.com/file/d/1zz4qlRsTBP_GrcabogKGNq37Zi441nay/view?usp=drive_link" TargetMode="External"/><Relationship Id="rId260" Type="http://schemas.openxmlformats.org/officeDocument/2006/relationships/hyperlink" Target="https://drive.google.com/file/d/1MA0090m_XccLwGdUxfKZpfDpuhNWKEsR/view" TargetMode="External"/><Relationship Id="rId281" Type="http://schemas.openxmlformats.org/officeDocument/2006/relationships/hyperlink" Target="https://drive.google.com/file/d/1TToHQ12MUD7oOTxRRjeFlE6wE2AK_G4-/view?usp=drive_link" TargetMode="External"/><Relationship Id="rId34" Type="http://schemas.openxmlformats.org/officeDocument/2006/relationships/hyperlink" Target="https://drive.google.com/file/d/1R2HKGPZg3wxWkjEcp-YS5wjJYq9RK7sb/view?usp=drive_link" TargetMode="External"/><Relationship Id="rId55" Type="http://schemas.openxmlformats.org/officeDocument/2006/relationships/hyperlink" Target="https://drive.google.com/file/d/1fKN6trjE7XpNHNJt0lFnowgLN9R8P2F0/view?usp=drive_link" TargetMode="External"/><Relationship Id="rId76" Type="http://schemas.openxmlformats.org/officeDocument/2006/relationships/hyperlink" Target="https://drive.google.com/file/d/16RVHcP-g2nS9BujM1_7ig84qBTA09HpQ/view?usp=drive_link" TargetMode="External"/><Relationship Id="rId97" Type="http://schemas.openxmlformats.org/officeDocument/2006/relationships/hyperlink" Target="https://drive.google.com/file/d/16RVHcP-g2nS9BujM1_7ig84qBTA09HpQ/view?usp=drive_link" TargetMode="External"/><Relationship Id="rId120" Type="http://schemas.openxmlformats.org/officeDocument/2006/relationships/hyperlink" Target="https://drive.google.com/file/d/1zz4qlRsTBP_GrcabogKGNq37Zi441nay/view?usp=drive_link" TargetMode="External"/><Relationship Id="rId141" Type="http://schemas.openxmlformats.org/officeDocument/2006/relationships/hyperlink" Target="https://drive.google.com/file/d/1gtxWN1dpx6fOVOKU8yERZkDBTUjxD5oE/view?usp=drive_link" TargetMode="External"/><Relationship Id="rId7" Type="http://schemas.openxmlformats.org/officeDocument/2006/relationships/hyperlink" Target="https://drive.google.com/file/d/1IcFdeKB0Ywc-0p_XtrhLpYSbtFlvX8yz/view?usp=drive_link" TargetMode="External"/><Relationship Id="rId162" Type="http://schemas.openxmlformats.org/officeDocument/2006/relationships/hyperlink" Target="https://drive.google.com/file/d/17KMKtwRFWjG2bOM4zHvUwcuF27IgkFUk/view" TargetMode="External"/><Relationship Id="rId183" Type="http://schemas.openxmlformats.org/officeDocument/2006/relationships/hyperlink" Target="https://drive.google.com/file/d/17KMKtwRFWjG2bOM4zHvUwcuF27IgkFUk/view" TargetMode="External"/><Relationship Id="rId218" Type="http://schemas.openxmlformats.org/officeDocument/2006/relationships/hyperlink" Target="https://drive.google.com/file/d/1R2HKGPZg3wxWkjEcp-YS5wjJYq9RK7sb/view?usp=drive_link" TargetMode="External"/><Relationship Id="rId239" Type="http://schemas.openxmlformats.org/officeDocument/2006/relationships/hyperlink" Target="https://drive.google.com/file/d/16RVHcP-g2nS9BujM1_7ig84qBTA09HpQ/view?usp=drive_link" TargetMode="External"/><Relationship Id="rId250" Type="http://schemas.openxmlformats.org/officeDocument/2006/relationships/hyperlink" Target="https://drive.google.com/file/d/16RVHcP-g2nS9BujM1_7ig84qBTA09HpQ/view?usp=drive_link" TargetMode="External"/><Relationship Id="rId271" Type="http://schemas.openxmlformats.org/officeDocument/2006/relationships/hyperlink" Target="https://drive.google.com/file/d/1MA0090m_XccLwGdUxfKZpfDpuhNWKEsR/view" TargetMode="External"/><Relationship Id="rId24" Type="http://schemas.openxmlformats.org/officeDocument/2006/relationships/hyperlink" Target="https://drive.google.com/file/d/1R2HKGPZg3wxWkjEcp-YS5wjJYq9RK7sb/view?usp=drive_link" TargetMode="External"/><Relationship Id="rId45" Type="http://schemas.openxmlformats.org/officeDocument/2006/relationships/hyperlink" Target="https://drive.google.com/file/d/1R2HKGPZg3wxWkjEcp-YS5wjJYq9RK7sb/view?usp=drive_link" TargetMode="External"/><Relationship Id="rId66" Type="http://schemas.openxmlformats.org/officeDocument/2006/relationships/hyperlink" Target="https://drive.google.com/file/d/1R2HKGPZg3wxWkjEcp-YS5wjJYq9RK7sb/view?usp=drive_link" TargetMode="External"/><Relationship Id="rId87" Type="http://schemas.openxmlformats.org/officeDocument/2006/relationships/hyperlink" Target="https://drive.google.com/file/d/16RVHcP-g2nS9BujM1_7ig84qBTA09HpQ/view?usp=drive_link" TargetMode="External"/><Relationship Id="rId110" Type="http://schemas.openxmlformats.org/officeDocument/2006/relationships/hyperlink" Target="https://drive.google.com/file/d/1zz4qlRsTBP_GrcabogKGNq37Zi441nay/view?usp=drive_link" TargetMode="External"/><Relationship Id="rId131" Type="http://schemas.openxmlformats.org/officeDocument/2006/relationships/hyperlink" Target="https://drive.google.com/file/d/1gtxWN1dpx6fOVOKU8yERZkDBTUjxD5oE/view?usp=drive_link" TargetMode="External"/><Relationship Id="rId152" Type="http://schemas.openxmlformats.org/officeDocument/2006/relationships/hyperlink" Target="https://drive.google.com/file/d/1gtxWN1dpx6fOVOKU8yERZkDBTUjxD5oE/view?usp=drive_link" TargetMode="External"/><Relationship Id="rId173" Type="http://schemas.openxmlformats.org/officeDocument/2006/relationships/hyperlink" Target="https://drive.google.com/file/d/17KMKtwRFWjG2bOM4zHvUwcuF27IgkFUk/view" TargetMode="External"/><Relationship Id="rId194" Type="http://schemas.openxmlformats.org/officeDocument/2006/relationships/hyperlink" Target="https://drive.google.com/file/d/17KMKtwRFWjG2bOM4zHvUwcuF27IgkFUk/view" TargetMode="External"/><Relationship Id="rId208" Type="http://schemas.openxmlformats.org/officeDocument/2006/relationships/hyperlink" Target="https://drive.google.com/file/d/1R2HKGPZg3wxWkjEcp-YS5wjJYq9RK7sb/view?usp=drive_link" TargetMode="External"/><Relationship Id="rId229" Type="http://schemas.openxmlformats.org/officeDocument/2006/relationships/hyperlink" Target="https://drive.google.com/file/d/1fKN6trjE7XpNHNJt0lFnowgLN9R8P2F0/view?usp=drive_link" TargetMode="External"/><Relationship Id="rId240" Type="http://schemas.openxmlformats.org/officeDocument/2006/relationships/hyperlink" Target="https://drive.google.com/file/d/16RVHcP-g2nS9BujM1_7ig84qBTA09HpQ/view?usp=drive_link" TargetMode="External"/><Relationship Id="rId261" Type="http://schemas.openxmlformats.org/officeDocument/2006/relationships/hyperlink" Target="https://drive.google.com/file/d/1MA0090m_XccLwGdUxfKZpfDpuhNWKEsR/view" TargetMode="External"/><Relationship Id="rId14" Type="http://schemas.openxmlformats.org/officeDocument/2006/relationships/hyperlink" Target="https://drive.google.com/file/d/10gXxM0QwJgB41EDeAcUnDoGuwGRYqpg3/view?usp=drive_link" TargetMode="External"/><Relationship Id="rId35" Type="http://schemas.openxmlformats.org/officeDocument/2006/relationships/hyperlink" Target="https://drive.google.com/file/d/1R2HKGPZg3wxWkjEcp-YS5wjJYq9RK7sb/view?usp=drive_link" TargetMode="External"/><Relationship Id="rId56" Type="http://schemas.openxmlformats.org/officeDocument/2006/relationships/hyperlink" Target="https://drive.google.com/file/d/1fKN6trjE7XpNHNJt0lFnowgLN9R8P2F0/view?usp=drive_link" TargetMode="External"/><Relationship Id="rId77" Type="http://schemas.openxmlformats.org/officeDocument/2006/relationships/hyperlink" Target="https://drive.google.com/file/d/16RVHcP-g2nS9BujM1_7ig84qBTA09HpQ/view?usp=drive_link" TargetMode="External"/><Relationship Id="rId100" Type="http://schemas.openxmlformats.org/officeDocument/2006/relationships/hyperlink" Target="https://drive.google.com/file/d/14XuzwX8dcR9dkezAUm8UHlZFFfyOC9Fs/view?usp=drive_link" TargetMode="External"/><Relationship Id="rId282" Type="http://schemas.openxmlformats.org/officeDocument/2006/relationships/drawing" Target="../drawings/drawing7.xml"/><Relationship Id="rId8" Type="http://schemas.openxmlformats.org/officeDocument/2006/relationships/hyperlink" Target="https://drive.google.com/file/d/1IcFdeKB0Ywc-0p_XtrhLpYSbtFlvX8yz/view?usp=drive_link" TargetMode="External"/><Relationship Id="rId98" Type="http://schemas.openxmlformats.org/officeDocument/2006/relationships/hyperlink" Target="https://drive.google.com/file/d/16RVHcP-g2nS9BujM1_7ig84qBTA09HpQ/view?usp=drive_link" TargetMode="External"/><Relationship Id="rId121" Type="http://schemas.openxmlformats.org/officeDocument/2006/relationships/hyperlink" Target="https://drive.google.com/file/d/1zz4qlRsTBP_GrcabogKGNq37Zi441nay/view?usp=drive_link" TargetMode="External"/><Relationship Id="rId142" Type="http://schemas.openxmlformats.org/officeDocument/2006/relationships/hyperlink" Target="https://drive.google.com/file/d/1gtxWN1dpx6fOVOKU8yERZkDBTUjxD5oE/view?usp=drive_link" TargetMode="External"/><Relationship Id="rId163" Type="http://schemas.openxmlformats.org/officeDocument/2006/relationships/hyperlink" Target="https://drive.google.com/file/d/17KMKtwRFWjG2bOM4zHvUwcuF27IgkFUk/view" TargetMode="External"/><Relationship Id="rId184" Type="http://schemas.openxmlformats.org/officeDocument/2006/relationships/hyperlink" Target="https://drive.google.com/file/d/17KMKtwRFWjG2bOM4zHvUwcuF27IgkFUk/view" TargetMode="External"/><Relationship Id="rId219" Type="http://schemas.openxmlformats.org/officeDocument/2006/relationships/hyperlink" Target="https://drive.google.com/file/d/1R2HKGPZg3wxWkjEcp-YS5wjJYq9RK7sb/view?usp=drive_link" TargetMode="External"/><Relationship Id="rId230" Type="http://schemas.openxmlformats.org/officeDocument/2006/relationships/hyperlink" Target="https://drive.google.com/file/d/1fKN6trjE7XpNHNJt0lFnowgLN9R8P2F0/view?usp=drive_link" TargetMode="External"/><Relationship Id="rId251" Type="http://schemas.openxmlformats.org/officeDocument/2006/relationships/hyperlink" Target="https://drive.google.com/file/d/16RVHcP-g2nS9BujM1_7ig84qBTA09HpQ/view?usp=drive_link" TargetMode="External"/><Relationship Id="rId25" Type="http://schemas.openxmlformats.org/officeDocument/2006/relationships/hyperlink" Target="https://drive.google.com/file/d/1R2HKGPZg3wxWkjEcp-YS5wjJYq9RK7sb/view?usp=drive_link" TargetMode="External"/><Relationship Id="rId46" Type="http://schemas.openxmlformats.org/officeDocument/2006/relationships/hyperlink" Target="https://drive.google.com/file/d/1R2HKGPZg3wxWkjEcp-YS5wjJYq9RK7sb/view?usp=drive_link" TargetMode="External"/><Relationship Id="rId67" Type="http://schemas.openxmlformats.org/officeDocument/2006/relationships/hyperlink" Target="https://drive.google.com/file/d/1R2HKGPZg3wxWkjEcp-YS5wjJYq9RK7sb/view?usp=drive_link" TargetMode="External"/><Relationship Id="rId272" Type="http://schemas.openxmlformats.org/officeDocument/2006/relationships/hyperlink" Target="https://drive.google.com/file/d/1MA0090m_XccLwGdUxfKZpfDpuhNWKEsR/view" TargetMode="External"/><Relationship Id="rId88" Type="http://schemas.openxmlformats.org/officeDocument/2006/relationships/hyperlink" Target="https://drive.google.com/file/d/16RVHcP-g2nS9BujM1_7ig84qBTA09HpQ/view?usp=drive_link" TargetMode="External"/><Relationship Id="rId111" Type="http://schemas.openxmlformats.org/officeDocument/2006/relationships/hyperlink" Target="https://drive.google.com/file/d/1zz4qlRsTBP_GrcabogKGNq37Zi441nay/view?usp=drive_link" TargetMode="External"/><Relationship Id="rId132" Type="http://schemas.openxmlformats.org/officeDocument/2006/relationships/hyperlink" Target="https://drive.google.com/file/d/1gtxWN1dpx6fOVOKU8yERZkDBTUjxD5oE/view?usp=drive_link" TargetMode="External"/><Relationship Id="rId153" Type="http://schemas.openxmlformats.org/officeDocument/2006/relationships/hyperlink" Target="https://drive.google.com/file/d/1gtxWN1dpx6fOVOKU8yERZkDBTUjxD5oE/view?usp=drive_link" TargetMode="External"/><Relationship Id="rId174" Type="http://schemas.openxmlformats.org/officeDocument/2006/relationships/hyperlink" Target="https://drive.google.com/file/d/17KMKtwRFWjG2bOM4zHvUwcuF27IgkFUk/view" TargetMode="External"/><Relationship Id="rId195" Type="http://schemas.openxmlformats.org/officeDocument/2006/relationships/hyperlink" Target="https://drive.google.com/file/d/1R2HKGPZg3wxWkjEcp-YS5wjJYq9RK7sb/view?usp=drive_link" TargetMode="External"/><Relationship Id="rId209" Type="http://schemas.openxmlformats.org/officeDocument/2006/relationships/hyperlink" Target="https://drive.google.com/file/d/1R2HKGPZg3wxWkjEcp-YS5wjJYq9RK7sb/view?usp=drive_link" TargetMode="External"/><Relationship Id="rId220" Type="http://schemas.openxmlformats.org/officeDocument/2006/relationships/hyperlink" Target="https://drive.google.com/file/d/1R2HKGPZg3wxWkjEcp-YS5wjJYq9RK7sb/view?usp=drive_link" TargetMode="External"/><Relationship Id="rId241" Type="http://schemas.openxmlformats.org/officeDocument/2006/relationships/hyperlink" Target="https://drive.google.com/file/d/16RVHcP-g2nS9BujM1_7ig84qBTA09HpQ/view?usp=drive_link" TargetMode="External"/><Relationship Id="rId15" Type="http://schemas.openxmlformats.org/officeDocument/2006/relationships/hyperlink" Target="https://drive.google.com/file/d/10gXxM0QwJgB41EDeAcUnDoGuwGRYqpg3/view?usp=drive_link" TargetMode="External"/><Relationship Id="rId36" Type="http://schemas.openxmlformats.org/officeDocument/2006/relationships/hyperlink" Target="https://drive.google.com/file/d/1fKN6trjE7XpNHNJt0lFnowgLN9R8P2F0/view?usp=drive_link" TargetMode="External"/><Relationship Id="rId57" Type="http://schemas.openxmlformats.org/officeDocument/2006/relationships/hyperlink" Target="https://drive.google.com/file/d/1fKN6trjE7XpNHNJt0lFnowgLN9R8P2F0/view?usp=drive_link" TargetMode="External"/><Relationship Id="rId262" Type="http://schemas.openxmlformats.org/officeDocument/2006/relationships/hyperlink" Target="https://drive.google.com/file/d/1MA0090m_XccLwGdUxfKZpfDpuhNWKEsR/view" TargetMode="External"/><Relationship Id="rId78" Type="http://schemas.openxmlformats.org/officeDocument/2006/relationships/hyperlink" Target="https://drive.google.com/file/d/16RVHcP-g2nS9BujM1_7ig84qBTA09HpQ/view?usp=drive_link" TargetMode="External"/><Relationship Id="rId99" Type="http://schemas.openxmlformats.org/officeDocument/2006/relationships/hyperlink" Target="https://drive.google.com/file/d/16RVHcP-g2nS9BujM1_7ig84qBTA09HpQ/view?usp=drive_link" TargetMode="External"/><Relationship Id="rId101" Type="http://schemas.openxmlformats.org/officeDocument/2006/relationships/hyperlink" Target="https://drive.google.com/file/d/1rmivryE0fokih2O1QrVpbIPnMmNLI-Yl/view?usp=drive_link" TargetMode="External"/><Relationship Id="rId122" Type="http://schemas.openxmlformats.org/officeDocument/2006/relationships/hyperlink" Target="https://drive.google.com/file/d/1zz4qlRsTBP_GrcabogKGNq37Zi441nay/view?usp=drive_link" TargetMode="External"/><Relationship Id="rId143" Type="http://schemas.openxmlformats.org/officeDocument/2006/relationships/hyperlink" Target="https://drive.google.com/file/d/1gtxWN1dpx6fOVOKU8yERZkDBTUjxD5oE/view?usp=drive_link" TargetMode="External"/><Relationship Id="rId164" Type="http://schemas.openxmlformats.org/officeDocument/2006/relationships/hyperlink" Target="https://drive.google.com/file/d/17KMKtwRFWjG2bOM4zHvUwcuF27IgkFUk/view" TargetMode="External"/><Relationship Id="rId185" Type="http://schemas.openxmlformats.org/officeDocument/2006/relationships/hyperlink" Target="https://drive.google.com/file/d/17KMKtwRFWjG2bOM4zHvUwcuF27IgkFUk/view" TargetMode="External"/><Relationship Id="rId9" Type="http://schemas.openxmlformats.org/officeDocument/2006/relationships/hyperlink" Target="https://drive.google.com/file/d/1_mjl_QycHyGOG0NcL2YL6NV2RDdIwsfh/view?usp=drive_link" TargetMode="External"/><Relationship Id="rId210" Type="http://schemas.openxmlformats.org/officeDocument/2006/relationships/hyperlink" Target="https://drive.google.com/file/d/1R2HKGPZg3wxWkjEcp-YS5wjJYq9RK7sb/view?usp=drive_link" TargetMode="External"/><Relationship Id="rId26" Type="http://schemas.openxmlformats.org/officeDocument/2006/relationships/hyperlink" Target="https://drive.google.com/file/d/1R2HKGPZg3wxWkjEcp-YS5wjJYq9RK7sb/view?usp=drive_link" TargetMode="External"/><Relationship Id="rId231" Type="http://schemas.openxmlformats.org/officeDocument/2006/relationships/hyperlink" Target="https://drive.google.com/file/d/1fKN6trjE7XpNHNJt0lFnowgLN9R8P2F0/view?usp=drive_link" TargetMode="External"/><Relationship Id="rId252" Type="http://schemas.openxmlformats.org/officeDocument/2006/relationships/hyperlink" Target="https://drive.google.com/file/d/16RVHcP-g2nS9BujM1_7ig84qBTA09HpQ/view?usp=drive_link" TargetMode="External"/><Relationship Id="rId273" Type="http://schemas.openxmlformats.org/officeDocument/2006/relationships/hyperlink" Target="https://drive.google.com/file/d/1MA0090m_XccLwGdUxfKZpfDpuhNWKEsR/view" TargetMode="External"/><Relationship Id="rId47" Type="http://schemas.openxmlformats.org/officeDocument/2006/relationships/hyperlink" Target="https://drive.google.com/file/d/1R2HKGPZg3wxWkjEcp-YS5wjJYq9RK7sb/view?usp=drive_link" TargetMode="External"/><Relationship Id="rId68" Type="http://schemas.openxmlformats.org/officeDocument/2006/relationships/hyperlink" Target="https://drive.google.com/file/d/1fKN6trjE7XpNHNJt0lFnowgLN9R8P2F0/view?usp=drive_link" TargetMode="External"/><Relationship Id="rId89" Type="http://schemas.openxmlformats.org/officeDocument/2006/relationships/hyperlink" Target="https://drive.google.com/file/d/16RVHcP-g2nS9BujM1_7ig84qBTA09HpQ/view?usp=drive_link" TargetMode="External"/><Relationship Id="rId112" Type="http://schemas.openxmlformats.org/officeDocument/2006/relationships/hyperlink" Target="https://drive.google.com/file/d/1zz4qlRsTBP_GrcabogKGNq37Zi441nay/view?usp=drive_link" TargetMode="External"/><Relationship Id="rId133" Type="http://schemas.openxmlformats.org/officeDocument/2006/relationships/hyperlink" Target="https://drive.google.com/file/d/1gtxWN1dpx6fOVOKU8yERZkDBTUjxD5oE/view?usp=drive_link" TargetMode="External"/><Relationship Id="rId154" Type="http://schemas.openxmlformats.org/officeDocument/2006/relationships/hyperlink" Target="https://drive.google.com/file/d/1gtxWN1dpx6fOVOKU8yERZkDBTUjxD5oE/view?usp=drive_link" TargetMode="External"/><Relationship Id="rId175" Type="http://schemas.openxmlformats.org/officeDocument/2006/relationships/hyperlink" Target="https://drive.google.com/file/d/17KMKtwRFWjG2bOM4zHvUwcuF27IgkFUk/view" TargetMode="External"/><Relationship Id="rId196" Type="http://schemas.openxmlformats.org/officeDocument/2006/relationships/hyperlink" Target="https://drive.google.com/file/d/1fKN6trjE7XpNHNJt0lFnowgLN9R8P2F0/view?usp=drive_link" TargetMode="External"/><Relationship Id="rId200" Type="http://schemas.openxmlformats.org/officeDocument/2006/relationships/hyperlink" Target="http://87795.142.nc/" TargetMode="External"/><Relationship Id="rId16" Type="http://schemas.openxmlformats.org/officeDocument/2006/relationships/hyperlink" Target="https://drive.google.com/file/d/1R2HKGPZg3wxWkjEcp-YS5wjJYq9RK7sb/view?usp=drive_link" TargetMode="External"/><Relationship Id="rId221" Type="http://schemas.openxmlformats.org/officeDocument/2006/relationships/hyperlink" Target="https://drive.google.com/file/d/1R2HKGPZg3wxWkjEcp-YS5wjJYq9RK7sb/view?usp=drive_link" TargetMode="External"/><Relationship Id="rId242" Type="http://schemas.openxmlformats.org/officeDocument/2006/relationships/hyperlink" Target="https://drive.google.com/file/d/16RVHcP-g2nS9BujM1_7ig84qBTA09HpQ/view?usp=drive_link" TargetMode="External"/><Relationship Id="rId263" Type="http://schemas.openxmlformats.org/officeDocument/2006/relationships/hyperlink" Target="https://drive.google.com/file/d/1MA0090m_XccLwGdUxfKZpfDpuhNWKEsR/view" TargetMode="External"/><Relationship Id="rId37" Type="http://schemas.openxmlformats.org/officeDocument/2006/relationships/hyperlink" Target="https://drive.google.com/file/d/1fKN6trjE7XpNHNJt0lFnowgLN9R8P2F0/view?usp=drive_link" TargetMode="External"/><Relationship Id="rId58" Type="http://schemas.openxmlformats.org/officeDocument/2006/relationships/hyperlink" Target="https://drive.google.com/file/d/1fKN6trjE7XpNHNJt0lFnowgLN9R8P2F0/view?usp=drive_link" TargetMode="External"/><Relationship Id="rId79" Type="http://schemas.openxmlformats.org/officeDocument/2006/relationships/hyperlink" Target="https://drive.google.com/file/d/16RVHcP-g2nS9BujM1_7ig84qBTA09HpQ/view?usp=drive_link" TargetMode="External"/><Relationship Id="rId102" Type="http://schemas.openxmlformats.org/officeDocument/2006/relationships/hyperlink" Target="https://drive.google.com/file/d/1rmivryE0fokih2O1QrVpbIPnMmNLI-Yl/view?usp=drive_link" TargetMode="External"/><Relationship Id="rId123" Type="http://schemas.openxmlformats.org/officeDocument/2006/relationships/hyperlink" Target="https://drive.google.com/file/d/1zz4qlRsTBP_GrcabogKGNq37Zi441nay/view?usp=drive_link" TargetMode="External"/><Relationship Id="rId144" Type="http://schemas.openxmlformats.org/officeDocument/2006/relationships/hyperlink" Target="https://drive.google.com/file/d/1gtxWN1dpx6fOVOKU8yERZkDBTUjxD5oE/view?usp=drive_link" TargetMode="External"/><Relationship Id="rId90" Type="http://schemas.openxmlformats.org/officeDocument/2006/relationships/hyperlink" Target="https://drive.google.com/file/d/16RVHcP-g2nS9BujM1_7ig84qBTA09HpQ/view?usp=drive_link" TargetMode="External"/><Relationship Id="rId165" Type="http://schemas.openxmlformats.org/officeDocument/2006/relationships/hyperlink" Target="https://drive.google.com/file/d/17KMKtwRFWjG2bOM4zHvUwcuF27IgkFUk/view" TargetMode="External"/><Relationship Id="rId186" Type="http://schemas.openxmlformats.org/officeDocument/2006/relationships/hyperlink" Target="https://drive.google.com/file/d/17KMKtwRFWjG2bOM4zHvUwcuF27IgkFUk/view" TargetMode="External"/><Relationship Id="rId211" Type="http://schemas.openxmlformats.org/officeDocument/2006/relationships/hyperlink" Target="https://drive.google.com/file/d/1R2HKGPZg3wxWkjEcp-YS5wjJYq9RK7sb/view?usp=drive_link" TargetMode="External"/><Relationship Id="rId232" Type="http://schemas.openxmlformats.org/officeDocument/2006/relationships/hyperlink" Target="https://drive.google.com/file/d/1fKN6trjE7XpNHNJt0lFnowgLN9R8P2F0/view?usp=drive_link" TargetMode="External"/><Relationship Id="rId253" Type="http://schemas.openxmlformats.org/officeDocument/2006/relationships/hyperlink" Target="https://drive.google.com/file/d/16RVHcP-g2nS9BujM1_7ig84qBTA09HpQ/view?usp=drive_link" TargetMode="External"/><Relationship Id="rId274" Type="http://schemas.openxmlformats.org/officeDocument/2006/relationships/hyperlink" Target="https://drive.google.com/file/d/1MA0090m_XccLwGdUxfKZpfDpuhNWKEsR/view" TargetMode="External"/><Relationship Id="rId27" Type="http://schemas.openxmlformats.org/officeDocument/2006/relationships/hyperlink" Target="https://drive.google.com/file/d/1R2HKGPZg3wxWkjEcp-YS5wjJYq9RK7sb/view?usp=drive_link" TargetMode="External"/><Relationship Id="rId48" Type="http://schemas.openxmlformats.org/officeDocument/2006/relationships/hyperlink" Target="https://drive.google.com/file/d/1R2HKGPZg3wxWkjEcp-YS5wjJYq9RK7sb/view?usp=drive_link" TargetMode="External"/><Relationship Id="rId69" Type="http://schemas.openxmlformats.org/officeDocument/2006/relationships/hyperlink" Target="https://drive.google.com/file/d/1fKN6trjE7XpNHNJt0lFnowgLN9R8P2F0/view?usp=drive_link" TargetMode="External"/><Relationship Id="rId113" Type="http://schemas.openxmlformats.org/officeDocument/2006/relationships/hyperlink" Target="https://drive.google.com/file/d/1zz4qlRsTBP_GrcabogKGNq37Zi441nay/view?usp=drive_link" TargetMode="External"/><Relationship Id="rId134" Type="http://schemas.openxmlformats.org/officeDocument/2006/relationships/hyperlink" Target="https://drive.google.com/file/d/1gtxWN1dpx6fOVOKU8yERZkDBTUjxD5oE/view?usp=drive_link" TargetMode="External"/><Relationship Id="rId80" Type="http://schemas.openxmlformats.org/officeDocument/2006/relationships/hyperlink" Target="https://drive.google.com/file/d/16RVHcP-g2nS9BujM1_7ig84qBTA09HpQ/view?usp=drive_link" TargetMode="External"/><Relationship Id="rId155" Type="http://schemas.openxmlformats.org/officeDocument/2006/relationships/hyperlink" Target="https://drive.google.com/file/d/17KMKtwRFWjG2bOM4zHvUwcuF27IgkFUk/view" TargetMode="External"/><Relationship Id="rId176" Type="http://schemas.openxmlformats.org/officeDocument/2006/relationships/hyperlink" Target="https://drive.google.com/file/d/17KMKtwRFWjG2bOM4zHvUwcuF27IgkFUk/view" TargetMode="External"/><Relationship Id="rId197" Type="http://schemas.openxmlformats.org/officeDocument/2006/relationships/hyperlink" Target="https://drive.google.com/file/d/1nV3qTz0fbG_ZsARKYRms9zCJr-TBt_3a/view?usp=drive_link" TargetMode="External"/><Relationship Id="rId201" Type="http://schemas.openxmlformats.org/officeDocument/2006/relationships/hyperlink" Target="https://drive.google.com/file/d/16RVHcP-g2nS9BujM1_7ig84qBTA09HpQ/view?usp=drive_link" TargetMode="External"/><Relationship Id="rId222" Type="http://schemas.openxmlformats.org/officeDocument/2006/relationships/hyperlink" Target="https://drive.google.com/file/d/1fKN6trjE7XpNHNJt0lFnowgLN9R8P2F0/view?usp=drive_link" TargetMode="External"/><Relationship Id="rId243" Type="http://schemas.openxmlformats.org/officeDocument/2006/relationships/hyperlink" Target="https://drive.google.com/file/d/16RVHcP-g2nS9BujM1_7ig84qBTA09HpQ/view?usp=drive_link" TargetMode="External"/><Relationship Id="rId264" Type="http://schemas.openxmlformats.org/officeDocument/2006/relationships/hyperlink" Target="https://drive.google.com/file/d/1MA0090m_XccLwGdUxfKZpfDpuhNWKEsR/view" TargetMode="External"/><Relationship Id="rId17" Type="http://schemas.openxmlformats.org/officeDocument/2006/relationships/hyperlink" Target="https://drive.google.com/file/d/1fKN6trjE7XpNHNJt0lFnowgLN9R8P2F0/view?usp=drive_link" TargetMode="External"/><Relationship Id="rId38" Type="http://schemas.openxmlformats.org/officeDocument/2006/relationships/hyperlink" Target="https://drive.google.com/file/d/1fKN6trjE7XpNHNJt0lFnowgLN9R8P2F0/view?usp=drive_link" TargetMode="External"/><Relationship Id="rId59" Type="http://schemas.openxmlformats.org/officeDocument/2006/relationships/hyperlink" Target="https://drive.google.com/file/d/1fKN6trjE7XpNHNJt0lFnowgLN9R8P2F0/view?usp=drive_link" TargetMode="External"/><Relationship Id="rId103" Type="http://schemas.openxmlformats.org/officeDocument/2006/relationships/hyperlink" Target="https://drive.google.com/file/d/17KMKtwRFWjG2bOM4zHvUwcuF27IgkFUk/view" TargetMode="External"/><Relationship Id="rId124" Type="http://schemas.openxmlformats.org/officeDocument/2006/relationships/hyperlink" Target="https://drive.google.com/file/d/1zz4qlRsTBP_GrcabogKGNq37Zi441nay/view?usp=drive_link" TargetMode="External"/><Relationship Id="rId70" Type="http://schemas.openxmlformats.org/officeDocument/2006/relationships/hyperlink" Target="https://drive.google.com/file/d/1fKN6trjE7XpNHNJt0lFnowgLN9R8P2F0/view?usp=drive_link" TargetMode="External"/><Relationship Id="rId91" Type="http://schemas.openxmlformats.org/officeDocument/2006/relationships/hyperlink" Target="https://drive.google.com/file/d/16RVHcP-g2nS9BujM1_7ig84qBTA09HpQ/view?usp=drive_link" TargetMode="External"/><Relationship Id="rId145" Type="http://schemas.openxmlformats.org/officeDocument/2006/relationships/hyperlink" Target="https://drive.google.com/file/d/1gtxWN1dpx6fOVOKU8yERZkDBTUjxD5oE/view?usp=drive_link" TargetMode="External"/><Relationship Id="rId166" Type="http://schemas.openxmlformats.org/officeDocument/2006/relationships/hyperlink" Target="https://drive.google.com/file/d/17KMKtwRFWjG2bOM4zHvUwcuF27IgkFUk/view" TargetMode="External"/><Relationship Id="rId187" Type="http://schemas.openxmlformats.org/officeDocument/2006/relationships/hyperlink" Target="https://drive.google.com/file/d/17KMKtwRFWjG2bOM4zHvUwcuF27IgkFUk/view" TargetMode="External"/><Relationship Id="rId1" Type="http://schemas.openxmlformats.org/officeDocument/2006/relationships/hyperlink" Target="https://drive.google.com/file/d/1GcExG7SaghQVAa0QvYFxmDOfebfYdaSu/view?usp=drive_link" TargetMode="External"/><Relationship Id="rId212" Type="http://schemas.openxmlformats.org/officeDocument/2006/relationships/hyperlink" Target="https://drive.google.com/file/d/1R2HKGPZg3wxWkjEcp-YS5wjJYq9RK7sb/view?usp=drive_link" TargetMode="External"/><Relationship Id="rId233" Type="http://schemas.openxmlformats.org/officeDocument/2006/relationships/hyperlink" Target="https://drive.google.com/file/d/1fKN6trjE7XpNHNJt0lFnowgLN9R8P2F0/view?usp=drive_link" TargetMode="External"/><Relationship Id="rId254" Type="http://schemas.openxmlformats.org/officeDocument/2006/relationships/hyperlink" Target="https://drive.google.com/file/d/1h7IRV91zfJRucP-wX1zulIMcIZAsLgco/view?usp=drive_link" TargetMode="External"/><Relationship Id="rId28" Type="http://schemas.openxmlformats.org/officeDocument/2006/relationships/hyperlink" Target="https://drive.google.com/file/d/1R2HKGPZg3wxWkjEcp-YS5wjJYq9RK7sb/view?usp=drive_link" TargetMode="External"/><Relationship Id="rId49" Type="http://schemas.openxmlformats.org/officeDocument/2006/relationships/hyperlink" Target="https://drive.google.com/file/d/1R2HKGPZg3wxWkjEcp-YS5wjJYq9RK7sb/view?usp=drive_link" TargetMode="External"/><Relationship Id="rId114" Type="http://schemas.openxmlformats.org/officeDocument/2006/relationships/hyperlink" Target="https://drive.google.com/file/d/1zz4qlRsTBP_GrcabogKGNq37Zi441nay/view?usp=drive_link" TargetMode="External"/><Relationship Id="rId275" Type="http://schemas.openxmlformats.org/officeDocument/2006/relationships/hyperlink" Target="https://drive.google.com/file/d/1MA0090m_XccLwGdUxfKZpfDpuhNWKEsR/view" TargetMode="External"/><Relationship Id="rId60" Type="http://schemas.openxmlformats.org/officeDocument/2006/relationships/hyperlink" Target="https://drive.google.com/file/d/1R2HKGPZg3wxWkjEcp-YS5wjJYq9RK7sb/view?usp=drive_link" TargetMode="External"/><Relationship Id="rId81" Type="http://schemas.openxmlformats.org/officeDocument/2006/relationships/hyperlink" Target="https://drive.google.com/file/d/16RVHcP-g2nS9BujM1_7ig84qBTA09HpQ/view?usp=drive_link" TargetMode="External"/><Relationship Id="rId135" Type="http://schemas.openxmlformats.org/officeDocument/2006/relationships/hyperlink" Target="https://drive.google.com/file/d/1gtxWN1dpx6fOVOKU8yERZkDBTUjxD5oE/view?usp=drive_link" TargetMode="External"/><Relationship Id="rId156" Type="http://schemas.openxmlformats.org/officeDocument/2006/relationships/hyperlink" Target="https://drive.google.com/file/d/17KMKtwRFWjG2bOM4zHvUwcuF27IgkFUk/view" TargetMode="External"/><Relationship Id="rId177" Type="http://schemas.openxmlformats.org/officeDocument/2006/relationships/hyperlink" Target="https://drive.google.com/file/d/17KMKtwRFWjG2bOM4zHvUwcuF27IgkFUk/view" TargetMode="External"/><Relationship Id="rId198" Type="http://schemas.openxmlformats.org/officeDocument/2006/relationships/hyperlink" Target="https://drive.google.com/file/d/15cjx4ujMeEhe0sEy6bcgVWx5A_IpZy5v/view?usp=drive_link" TargetMode="External"/><Relationship Id="rId202" Type="http://schemas.openxmlformats.org/officeDocument/2006/relationships/hyperlink" Target="https://drive.google.com/file/d/1R2HKGPZg3wxWkjEcp-YS5wjJYq9RK7sb/view?usp=drive_link" TargetMode="External"/><Relationship Id="rId223" Type="http://schemas.openxmlformats.org/officeDocument/2006/relationships/hyperlink" Target="https://drive.google.com/file/d/1fKN6trjE7XpNHNJt0lFnowgLN9R8P2F0/view?usp=drive_link" TargetMode="External"/><Relationship Id="rId244" Type="http://schemas.openxmlformats.org/officeDocument/2006/relationships/hyperlink" Target="https://drive.google.com/file/d/16RVHcP-g2nS9BujM1_7ig84qBTA09HpQ/view?usp=drive_link" TargetMode="External"/><Relationship Id="rId18" Type="http://schemas.openxmlformats.org/officeDocument/2006/relationships/hyperlink" Target="https://drive.google.com/file/d/1nV3qTz0fbG_ZsARKYRms9zCJr-TBt_3a/view?usp=drive_link" TargetMode="External"/><Relationship Id="rId39" Type="http://schemas.openxmlformats.org/officeDocument/2006/relationships/hyperlink" Target="https://drive.google.com/file/d/1fKN6trjE7XpNHNJt0lFnowgLN9R8P2F0/view?usp=drive_link" TargetMode="External"/><Relationship Id="rId265" Type="http://schemas.openxmlformats.org/officeDocument/2006/relationships/hyperlink" Target="https://drive.google.com/file/d/1MA0090m_XccLwGdUxfKZpfDpuhNWKEsR/view" TargetMode="External"/><Relationship Id="rId50" Type="http://schemas.openxmlformats.org/officeDocument/2006/relationships/hyperlink" Target="https://drive.google.com/file/d/1R2HKGPZg3wxWkjEcp-YS5wjJYq9RK7sb/view?usp=drive_link" TargetMode="External"/><Relationship Id="rId104" Type="http://schemas.openxmlformats.org/officeDocument/2006/relationships/hyperlink" Target="https://drive.google.com/file/d/17KMKtwRFWjG2bOM4zHvUwcuF27IgkFUk/view" TargetMode="External"/><Relationship Id="rId125" Type="http://schemas.openxmlformats.org/officeDocument/2006/relationships/hyperlink" Target="https://drive.google.com/file/d/1zz4qlRsTBP_GrcabogKGNq37Zi441nay/view?usp=drive_link" TargetMode="External"/><Relationship Id="rId146" Type="http://schemas.openxmlformats.org/officeDocument/2006/relationships/hyperlink" Target="https://drive.google.com/file/d/1gtxWN1dpx6fOVOKU8yERZkDBTUjxD5oE/view?usp=drive_link" TargetMode="External"/><Relationship Id="rId167" Type="http://schemas.openxmlformats.org/officeDocument/2006/relationships/hyperlink" Target="https://drive.google.com/file/d/17KMKtwRFWjG2bOM4zHvUwcuF27IgkFUk/view" TargetMode="External"/><Relationship Id="rId188" Type="http://schemas.openxmlformats.org/officeDocument/2006/relationships/hyperlink" Target="https://drive.google.com/file/d/17KMKtwRFWjG2bOM4zHvUwcuF27IgkFUk/view" TargetMode="External"/><Relationship Id="rId71" Type="http://schemas.openxmlformats.org/officeDocument/2006/relationships/hyperlink" Target="https://drive.google.com/file/d/1fKN6trjE7XpNHNJt0lFnowgLN9R8P2F0/view?usp=drive_link" TargetMode="External"/><Relationship Id="rId92" Type="http://schemas.openxmlformats.org/officeDocument/2006/relationships/hyperlink" Target="https://drive.google.com/file/d/16RVHcP-g2nS9BujM1_7ig84qBTA09HpQ/view?usp=drive_link" TargetMode="External"/><Relationship Id="rId213" Type="http://schemas.openxmlformats.org/officeDocument/2006/relationships/hyperlink" Target="https://drive.google.com/file/d/1R2HKGPZg3wxWkjEcp-YS5wjJYq9RK7sb/view?usp=drive_link" TargetMode="External"/><Relationship Id="rId234" Type="http://schemas.openxmlformats.org/officeDocument/2006/relationships/hyperlink" Target="https://drive.google.com/file/d/1fKN6trjE7XpNHNJt0lFnowgLN9R8P2F0/view?usp=drive_link" TargetMode="External"/><Relationship Id="rId2" Type="http://schemas.openxmlformats.org/officeDocument/2006/relationships/hyperlink" Target="https://drive.google.com/file/d/1GcExG7SaghQVAa0QvYFxmDOfebfYdaSu/view?usp=drive_link" TargetMode="External"/><Relationship Id="rId29" Type="http://schemas.openxmlformats.org/officeDocument/2006/relationships/hyperlink" Target="https://drive.google.com/file/d/1R2HKGPZg3wxWkjEcp-YS5wjJYq9RK7sb/view?usp=drive_link" TargetMode="External"/><Relationship Id="rId255" Type="http://schemas.openxmlformats.org/officeDocument/2006/relationships/hyperlink" Target="https://drive.google.com/file/d/1MA0090m_XccLwGdUxfKZpfDpuhNWKEsR/view" TargetMode="External"/><Relationship Id="rId276" Type="http://schemas.openxmlformats.org/officeDocument/2006/relationships/hyperlink" Target="https://drive.google.com/file/d/1MA0090m_XccLwGdUxfKZpfDpuhNWKEsR/view" TargetMode="External"/><Relationship Id="rId40" Type="http://schemas.openxmlformats.org/officeDocument/2006/relationships/hyperlink" Target="https://drive.google.com/file/d/1fKN6trjE7XpNHNJt0lFnowgLN9R8P2F0/view?usp=drive_link" TargetMode="External"/><Relationship Id="rId115" Type="http://schemas.openxmlformats.org/officeDocument/2006/relationships/hyperlink" Target="https://drive.google.com/file/d/1zz4qlRsTBP_GrcabogKGNq37Zi441nay/view?usp=drive_link" TargetMode="External"/><Relationship Id="rId136" Type="http://schemas.openxmlformats.org/officeDocument/2006/relationships/hyperlink" Target="https://drive.google.com/file/d/1gtxWN1dpx6fOVOKU8yERZkDBTUjxD5oE/view?usp=drive_link" TargetMode="External"/><Relationship Id="rId157" Type="http://schemas.openxmlformats.org/officeDocument/2006/relationships/hyperlink" Target="https://drive.google.com/file/d/17KMKtwRFWjG2bOM4zHvUwcuF27IgkFUk/view" TargetMode="External"/><Relationship Id="rId178" Type="http://schemas.openxmlformats.org/officeDocument/2006/relationships/hyperlink" Target="https://drive.google.com/file/d/17KMKtwRFWjG2bOM4zHvUwcuF27IgkFUk/view" TargetMode="External"/><Relationship Id="rId61" Type="http://schemas.openxmlformats.org/officeDocument/2006/relationships/hyperlink" Target="https://drive.google.com/file/d/1R2HKGPZg3wxWkjEcp-YS5wjJYq9RK7sb/view?usp=drive_link" TargetMode="External"/><Relationship Id="rId82" Type="http://schemas.openxmlformats.org/officeDocument/2006/relationships/hyperlink" Target="https://drive.google.com/file/d/16RVHcP-g2nS9BujM1_7ig84qBTA09HpQ/view?usp=drive_link" TargetMode="External"/><Relationship Id="rId199" Type="http://schemas.openxmlformats.org/officeDocument/2006/relationships/hyperlink" Target="https://drive.google.com/file/d/19ehRaQvlQ4bOKWMpSXPhECOgG8GGqWC3/view?usp=drive_link" TargetMode="External"/><Relationship Id="rId203" Type="http://schemas.openxmlformats.org/officeDocument/2006/relationships/hyperlink" Target="https://drive.google.com/file/d/1R2HKGPZg3wxWkjEcp-YS5wjJYq9RK7sb/view?usp=drive_link" TargetMode="External"/><Relationship Id="rId19" Type="http://schemas.openxmlformats.org/officeDocument/2006/relationships/hyperlink" Target="https://drive.google.com/file/d/15cjx4ujMeEhe0sEy6bcgVWx5A_IpZy5v/view?usp=drive_link" TargetMode="External"/><Relationship Id="rId224" Type="http://schemas.openxmlformats.org/officeDocument/2006/relationships/hyperlink" Target="https://drive.google.com/file/d/1fKN6trjE7XpNHNJt0lFnowgLN9R8P2F0/view?usp=drive_link" TargetMode="External"/><Relationship Id="rId245" Type="http://schemas.openxmlformats.org/officeDocument/2006/relationships/hyperlink" Target="https://drive.google.com/file/d/16RVHcP-g2nS9BujM1_7ig84qBTA09HpQ/view?usp=drive_link" TargetMode="External"/><Relationship Id="rId266" Type="http://schemas.openxmlformats.org/officeDocument/2006/relationships/hyperlink" Target="https://drive.google.com/file/d/1MA0090m_XccLwGdUxfKZpfDpuhNWKEsR/view" TargetMode="External"/><Relationship Id="rId30" Type="http://schemas.openxmlformats.org/officeDocument/2006/relationships/hyperlink" Target="https://drive.google.com/file/d/1R2HKGPZg3wxWkjEcp-YS5wjJYq9RK7sb/view?usp=drive_link" TargetMode="External"/><Relationship Id="rId105" Type="http://schemas.openxmlformats.org/officeDocument/2006/relationships/hyperlink" Target="https://drive.google.com/file/d/17KMKtwRFWjG2bOM4zHvUwcuF27IgkFUk/view" TargetMode="External"/><Relationship Id="rId126" Type="http://schemas.openxmlformats.org/officeDocument/2006/relationships/hyperlink" Target="https://drive.google.com/file/d/1zz4qlRsTBP_GrcabogKGNq37Zi441nay/view?usp=drive_link" TargetMode="External"/><Relationship Id="rId147" Type="http://schemas.openxmlformats.org/officeDocument/2006/relationships/hyperlink" Target="https://drive.google.com/file/d/1gtxWN1dpx6fOVOKU8yERZkDBTUjxD5oE/view?usp=drive_link" TargetMode="External"/><Relationship Id="rId168" Type="http://schemas.openxmlformats.org/officeDocument/2006/relationships/hyperlink" Target="https://drive.google.com/file/d/17KMKtwRFWjG2bOM4zHvUwcuF27IgkFUk/view" TargetMode="External"/><Relationship Id="rId51" Type="http://schemas.openxmlformats.org/officeDocument/2006/relationships/hyperlink" Target="https://drive.google.com/file/d/1R2HKGPZg3wxWkjEcp-YS5wjJYq9RK7sb/view?usp=drive_link" TargetMode="External"/><Relationship Id="rId72" Type="http://schemas.openxmlformats.org/officeDocument/2006/relationships/hyperlink" Target="https://drive.google.com/file/d/1fKN6trjE7XpNHNJt0lFnowgLN9R8P2F0/view?usp=drive_link" TargetMode="External"/><Relationship Id="rId93" Type="http://schemas.openxmlformats.org/officeDocument/2006/relationships/hyperlink" Target="https://drive.google.com/file/d/16RVHcP-g2nS9BujM1_7ig84qBTA09HpQ/view?usp=drive_link" TargetMode="External"/><Relationship Id="rId189" Type="http://schemas.openxmlformats.org/officeDocument/2006/relationships/hyperlink" Target="https://drive.google.com/file/d/17KMKtwRFWjG2bOM4zHvUwcuF27IgkFUk/view" TargetMode="External"/><Relationship Id="rId3" Type="http://schemas.openxmlformats.org/officeDocument/2006/relationships/hyperlink" Target="https://drive.google.com/file/d/1IcFdeKB0Ywc-0p_XtrhLpYSbtFlvX8yz/view?usp=drive_link" TargetMode="External"/><Relationship Id="rId214" Type="http://schemas.openxmlformats.org/officeDocument/2006/relationships/hyperlink" Target="https://drive.google.com/file/d/1R2HKGPZg3wxWkjEcp-YS5wjJYq9RK7sb/view?usp=drive_link" TargetMode="External"/><Relationship Id="rId235" Type="http://schemas.openxmlformats.org/officeDocument/2006/relationships/hyperlink" Target="https://drive.google.com/file/d/1fKN6trjE7XpNHNJt0lFnowgLN9R8P2F0/view?usp=drive_link" TargetMode="External"/><Relationship Id="rId256" Type="http://schemas.openxmlformats.org/officeDocument/2006/relationships/hyperlink" Target="https://drive.google.com/file/d/1MA0090m_XccLwGdUxfKZpfDpuhNWKEsR/view" TargetMode="External"/><Relationship Id="rId277" Type="http://schemas.openxmlformats.org/officeDocument/2006/relationships/hyperlink" Target="https://drive.google.com/file/d/1MA0090m_XccLwGdUxfKZpfDpuhNWKEsR/view" TargetMode="External"/><Relationship Id="rId116" Type="http://schemas.openxmlformats.org/officeDocument/2006/relationships/hyperlink" Target="https://drive.google.com/file/d/1zz4qlRsTBP_GrcabogKGNq37Zi441nay/view?usp=drive_link" TargetMode="External"/><Relationship Id="rId137" Type="http://schemas.openxmlformats.org/officeDocument/2006/relationships/hyperlink" Target="https://drive.google.com/file/d/1gtxWN1dpx6fOVOKU8yERZkDBTUjxD5oE/view?usp=drive_link" TargetMode="External"/><Relationship Id="rId158" Type="http://schemas.openxmlformats.org/officeDocument/2006/relationships/hyperlink" Target="https://drive.google.com/file/d/17KMKtwRFWjG2bOM4zHvUwcuF27IgkFUk/view" TargetMode="External"/><Relationship Id="rId20" Type="http://schemas.openxmlformats.org/officeDocument/2006/relationships/hyperlink" Target="http://87944.142.nc/" TargetMode="External"/><Relationship Id="rId41" Type="http://schemas.openxmlformats.org/officeDocument/2006/relationships/hyperlink" Target="https://drive.google.com/file/d/1fKN6trjE7XpNHNJt0lFnowgLN9R8P2F0/view?usp=drive_link" TargetMode="External"/><Relationship Id="rId62" Type="http://schemas.openxmlformats.org/officeDocument/2006/relationships/hyperlink" Target="https://drive.google.com/file/d/1R2HKGPZg3wxWkjEcp-YS5wjJYq9RK7sb/view?usp=drive_link" TargetMode="External"/><Relationship Id="rId83" Type="http://schemas.openxmlformats.org/officeDocument/2006/relationships/hyperlink" Target="https://drive.google.com/file/d/16RVHcP-g2nS9BujM1_7ig84qBTA09HpQ/view?usp=drive_link" TargetMode="External"/><Relationship Id="rId179" Type="http://schemas.openxmlformats.org/officeDocument/2006/relationships/hyperlink" Target="https://drive.google.com/file/d/17KMKtwRFWjG2bOM4zHvUwcuF27IgkFUk/view" TargetMode="External"/><Relationship Id="rId190" Type="http://schemas.openxmlformats.org/officeDocument/2006/relationships/hyperlink" Target="https://drive.google.com/file/d/17KMKtwRFWjG2bOM4zHvUwcuF27IgkFUk/view" TargetMode="External"/><Relationship Id="rId204" Type="http://schemas.openxmlformats.org/officeDocument/2006/relationships/hyperlink" Target="https://drive.google.com/file/d/1R2HKGPZg3wxWkjEcp-YS5wjJYq9RK7sb/view?usp=drive_link" TargetMode="External"/><Relationship Id="rId225" Type="http://schemas.openxmlformats.org/officeDocument/2006/relationships/hyperlink" Target="https://drive.google.com/file/d/1fKN6trjE7XpNHNJt0lFnowgLN9R8P2F0/view?usp=drive_link" TargetMode="External"/><Relationship Id="rId246" Type="http://schemas.openxmlformats.org/officeDocument/2006/relationships/hyperlink" Target="https://drive.google.com/file/d/16RVHcP-g2nS9BujM1_7ig84qBTA09HpQ/view?usp=drive_link" TargetMode="External"/><Relationship Id="rId267" Type="http://schemas.openxmlformats.org/officeDocument/2006/relationships/hyperlink" Target="https://drive.google.com/file/d/1MA0090m_XccLwGdUxfKZpfDpuhNWKEsR/view" TargetMode="External"/><Relationship Id="rId106" Type="http://schemas.openxmlformats.org/officeDocument/2006/relationships/hyperlink" Target="https://drive.google.com/file/d/17KMKtwRFWjG2bOM4zHvUwcuF27IgkFUk/view" TargetMode="External"/><Relationship Id="rId127" Type="http://schemas.openxmlformats.org/officeDocument/2006/relationships/hyperlink" Target="https://drive.google.com/file/d/1zz4qlRsTBP_GrcabogKGNq37Zi441nay/view?usp=drive_link" TargetMode="External"/><Relationship Id="rId10" Type="http://schemas.openxmlformats.org/officeDocument/2006/relationships/hyperlink" Target="https://drive.google.com/file/d/18NIgptN11OEXA76OTd0H-VX3wesWA0gJ/view?usp=drive_link" TargetMode="External"/><Relationship Id="rId31" Type="http://schemas.openxmlformats.org/officeDocument/2006/relationships/hyperlink" Target="https://drive.google.com/file/d/1R2HKGPZg3wxWkjEcp-YS5wjJYq9RK7sb/view?usp=drive_link" TargetMode="External"/><Relationship Id="rId52" Type="http://schemas.openxmlformats.org/officeDocument/2006/relationships/hyperlink" Target="https://drive.google.com/file/d/1fKN6trjE7XpNHNJt0lFnowgLN9R8P2F0/view?usp=drive_link" TargetMode="External"/><Relationship Id="rId73" Type="http://schemas.openxmlformats.org/officeDocument/2006/relationships/hyperlink" Target="https://drive.google.com/file/d/1fKN6trjE7XpNHNJt0lFnowgLN9R8P2F0/view?usp=drive_link" TargetMode="External"/><Relationship Id="rId94" Type="http://schemas.openxmlformats.org/officeDocument/2006/relationships/hyperlink" Target="https://drive.google.com/file/d/16RVHcP-g2nS9BujM1_7ig84qBTA09HpQ/view?usp=drive_link" TargetMode="External"/><Relationship Id="rId148" Type="http://schemas.openxmlformats.org/officeDocument/2006/relationships/hyperlink" Target="https://drive.google.com/file/d/1gtxWN1dpx6fOVOKU8yERZkDBTUjxD5oE/view?usp=drive_link" TargetMode="External"/><Relationship Id="rId169" Type="http://schemas.openxmlformats.org/officeDocument/2006/relationships/hyperlink" Target="https://drive.google.com/file/d/17KMKtwRFWjG2bOM4zHvUwcuF27IgkFUk/view" TargetMode="External"/><Relationship Id="rId4" Type="http://schemas.openxmlformats.org/officeDocument/2006/relationships/hyperlink" Target="https://drive.google.com/file/d/1IcFdeKB0Ywc-0p_XtrhLpYSbtFlvX8yz/view?usp=drive_link" TargetMode="External"/><Relationship Id="rId180" Type="http://schemas.openxmlformats.org/officeDocument/2006/relationships/hyperlink" Target="https://drive.google.com/file/d/17KMKtwRFWjG2bOM4zHvUwcuF27IgkFUk/view" TargetMode="External"/><Relationship Id="rId215" Type="http://schemas.openxmlformats.org/officeDocument/2006/relationships/hyperlink" Target="https://drive.google.com/file/d/1R2HKGPZg3wxWkjEcp-YS5wjJYq9RK7sb/view?usp=drive_link" TargetMode="External"/><Relationship Id="rId236" Type="http://schemas.openxmlformats.org/officeDocument/2006/relationships/hyperlink" Target="https://drive.google.com/file/d/1fKN6trjE7XpNHNJt0lFnowgLN9R8P2F0/view?usp=drive_link" TargetMode="External"/><Relationship Id="rId257" Type="http://schemas.openxmlformats.org/officeDocument/2006/relationships/hyperlink" Target="https://drive.google.com/file/d/1MA0090m_XccLwGdUxfKZpfDpuhNWKEsR/view" TargetMode="External"/><Relationship Id="rId278" Type="http://schemas.openxmlformats.org/officeDocument/2006/relationships/hyperlink" Target="https://drive.google.com/file/d/1MA0090m_XccLwGdUxfKZpfDpuhNWKEsR/view" TargetMode="External"/><Relationship Id="rId42" Type="http://schemas.openxmlformats.org/officeDocument/2006/relationships/hyperlink" Target="https://drive.google.com/file/d/1fKN6trjE7XpNHNJt0lFnowgLN9R8P2F0/view?usp=drive_link" TargetMode="External"/><Relationship Id="rId84" Type="http://schemas.openxmlformats.org/officeDocument/2006/relationships/hyperlink" Target="https://drive.google.com/file/d/16RVHcP-g2nS9BujM1_7ig84qBTA09HpQ/view?usp=drive_link" TargetMode="External"/><Relationship Id="rId138" Type="http://schemas.openxmlformats.org/officeDocument/2006/relationships/hyperlink" Target="https://drive.google.com/file/d/1gtxWN1dpx6fOVOKU8yERZkDBTUjxD5oE/view?usp=drive_link" TargetMode="External"/><Relationship Id="rId191" Type="http://schemas.openxmlformats.org/officeDocument/2006/relationships/hyperlink" Target="https://drive.google.com/file/d/17KMKtwRFWjG2bOM4zHvUwcuF27IgkFUk/view" TargetMode="External"/><Relationship Id="rId205" Type="http://schemas.openxmlformats.org/officeDocument/2006/relationships/hyperlink" Target="https://drive.google.com/file/d/1R2HKGPZg3wxWkjEcp-YS5wjJYq9RK7sb/view?usp=drive_link" TargetMode="External"/><Relationship Id="rId247" Type="http://schemas.openxmlformats.org/officeDocument/2006/relationships/hyperlink" Target="https://drive.google.com/file/d/16RVHcP-g2nS9BujM1_7ig84qBTA09HpQ/view?usp=drive_link" TargetMode="External"/><Relationship Id="rId107" Type="http://schemas.openxmlformats.org/officeDocument/2006/relationships/hyperlink" Target="https://drive.google.com/file/d/1zz4qlRsTBP_GrcabogKGNq37Zi441nay/view?usp=drive_link" TargetMode="External"/><Relationship Id="rId11" Type="http://schemas.openxmlformats.org/officeDocument/2006/relationships/hyperlink" Target="https://drive.google.com/file/d/1LWLtMiIRg9cAqrYs15PybPuvfgpK7XNt/view?usp=drive_link" TargetMode="External"/><Relationship Id="rId53" Type="http://schemas.openxmlformats.org/officeDocument/2006/relationships/hyperlink" Target="https://drive.google.com/file/d/1fKN6trjE7XpNHNJt0lFnowgLN9R8P2F0/view?usp=drive_link" TargetMode="External"/><Relationship Id="rId149" Type="http://schemas.openxmlformats.org/officeDocument/2006/relationships/hyperlink" Target="https://drive.google.com/file/d/1gtxWN1dpx6fOVOKU8yERZkDBTUjxD5oE/view?usp=drive_link" TargetMode="External"/><Relationship Id="rId95" Type="http://schemas.openxmlformats.org/officeDocument/2006/relationships/hyperlink" Target="https://drive.google.com/file/d/16RVHcP-g2nS9BujM1_7ig84qBTA09HpQ/view?usp=drive_link" TargetMode="External"/><Relationship Id="rId160" Type="http://schemas.openxmlformats.org/officeDocument/2006/relationships/hyperlink" Target="https://drive.google.com/file/d/17KMKtwRFWjG2bOM4zHvUwcuF27IgkFUk/view" TargetMode="External"/><Relationship Id="rId216" Type="http://schemas.openxmlformats.org/officeDocument/2006/relationships/hyperlink" Target="https://drive.google.com/file/d/1R2HKGPZg3wxWkjEcp-YS5wjJYq9RK7sb/view?usp=drive_link" TargetMode="External"/><Relationship Id="rId258" Type="http://schemas.openxmlformats.org/officeDocument/2006/relationships/hyperlink" Target="https://drive.google.com/file/d/1MA0090m_XccLwGdUxfKZpfDpuhNWKEsR/view"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jax.systems/ajax-cloud-storage/" TargetMode="External"/><Relationship Id="rId13" Type="http://schemas.openxmlformats.org/officeDocument/2006/relationships/hyperlink" Target="https://ajax.systems/ajax-cloud-storage/" TargetMode="External"/><Relationship Id="rId3" Type="http://schemas.openxmlformats.org/officeDocument/2006/relationships/hyperlink" Target="https://ajax.systems/ajax-cloud-storage/" TargetMode="External"/><Relationship Id="rId7" Type="http://schemas.openxmlformats.org/officeDocument/2006/relationships/hyperlink" Target="https://ajax.systems/ajax-cloud-storage/" TargetMode="External"/><Relationship Id="rId12" Type="http://schemas.openxmlformats.org/officeDocument/2006/relationships/hyperlink" Target="https://ajax.systems/ajax-cloud-storage/" TargetMode="External"/><Relationship Id="rId2" Type="http://schemas.openxmlformats.org/officeDocument/2006/relationships/hyperlink" Target="https://ajax.systems/ajax-cloud-storage/" TargetMode="External"/><Relationship Id="rId1" Type="http://schemas.openxmlformats.org/officeDocument/2006/relationships/hyperlink" Target="https://ajax.systems/ajax-sim/" TargetMode="External"/><Relationship Id="rId6" Type="http://schemas.openxmlformats.org/officeDocument/2006/relationships/hyperlink" Target="https://ajax.systems/ajax-cloud-storage/" TargetMode="External"/><Relationship Id="rId11" Type="http://schemas.openxmlformats.org/officeDocument/2006/relationships/hyperlink" Target="https://ajax.systems/ajax-cloud-storage/" TargetMode="External"/><Relationship Id="rId5" Type="http://schemas.openxmlformats.org/officeDocument/2006/relationships/hyperlink" Target="https://ajax.systems/ajax-cloud-storage/" TargetMode="External"/><Relationship Id="rId15" Type="http://schemas.openxmlformats.org/officeDocument/2006/relationships/drawing" Target="../drawings/drawing8.xml"/><Relationship Id="rId10" Type="http://schemas.openxmlformats.org/officeDocument/2006/relationships/hyperlink" Target="https://ajax.systems/ajax-cloud-storage/" TargetMode="External"/><Relationship Id="rId4" Type="http://schemas.openxmlformats.org/officeDocument/2006/relationships/hyperlink" Target="https://ajax.systems/ajax-cloud-storage/" TargetMode="External"/><Relationship Id="rId9" Type="http://schemas.openxmlformats.org/officeDocument/2006/relationships/hyperlink" Target="https://ajax.systems/ajax-cloud-storage/" TargetMode="External"/><Relationship Id="rId14" Type="http://schemas.openxmlformats.org/officeDocument/2006/relationships/hyperlink" Target="https://ajax.systems/services/ajax-photo-mo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88882.234.bl/" TargetMode="External"/><Relationship Id="rId7" Type="http://schemas.openxmlformats.org/officeDocument/2006/relationships/hyperlink" Target="http://87795.142.nc/" TargetMode="External"/><Relationship Id="rId2" Type="http://schemas.openxmlformats.org/officeDocument/2006/relationships/hyperlink" Target="http://59359.94.nc/" TargetMode="External"/><Relationship Id="rId1" Type="http://schemas.openxmlformats.org/officeDocument/2006/relationships/hyperlink" Target="http://38214.82.bl/" TargetMode="External"/><Relationship Id="rId6" Type="http://schemas.openxmlformats.org/officeDocument/2006/relationships/hyperlink" Target="http://87795.142.nc/" TargetMode="External"/><Relationship Id="rId5" Type="http://schemas.openxmlformats.org/officeDocument/2006/relationships/hyperlink" Target="http://87944.142.nc/" TargetMode="External"/><Relationship Id="rId4" Type="http://schemas.openxmlformats.org/officeDocument/2006/relationships/hyperlink" Target="http://127877.316.b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05"/>
  <sheetViews>
    <sheetView tabSelected="1" workbookViewId="0">
      <selection activeCell="B5" sqref="B5:E5"/>
    </sheetView>
  </sheetViews>
  <sheetFormatPr baseColWidth="10" defaultColWidth="12.5703125" defaultRowHeight="15.75" customHeight="1"/>
  <cols>
    <col min="1" max="1" width="6.7109375" customWidth="1"/>
    <col min="2" max="2" width="9.42578125" customWidth="1"/>
    <col min="3" max="3" width="14" bestFit="1" customWidth="1"/>
    <col min="4" max="4" width="14.42578125" customWidth="1"/>
    <col min="5" max="5" width="7.140625" customWidth="1"/>
    <col min="6" max="6" width="36.140625" customWidth="1"/>
    <col min="7" max="7" width="9.42578125" customWidth="1"/>
    <col min="8" max="8" width="13.140625" customWidth="1"/>
    <col min="9" max="9" width="9.5703125" customWidth="1"/>
    <col min="10" max="10" width="11.7109375" customWidth="1"/>
    <col min="11" max="11" width="9.85546875" customWidth="1"/>
  </cols>
  <sheetData>
    <row r="1" spans="1:11" ht="15">
      <c r="A1" s="1"/>
      <c r="B1" s="2"/>
      <c r="C1" s="3"/>
      <c r="D1" s="3"/>
      <c r="E1" s="3"/>
      <c r="F1" s="3"/>
      <c r="G1" s="4"/>
      <c r="H1" s="4"/>
      <c r="I1" s="4"/>
      <c r="J1" s="4"/>
      <c r="K1" s="1"/>
    </row>
    <row r="2" spans="1:11" ht="20.25" customHeight="1">
      <c r="A2" s="1"/>
      <c r="B2" s="294"/>
      <c r="C2" s="296" t="s">
        <v>0</v>
      </c>
      <c r="D2" s="297"/>
      <c r="E2" s="298"/>
      <c r="F2" s="3"/>
      <c r="G2" s="4"/>
      <c r="H2" s="4"/>
      <c r="I2" s="306"/>
      <c r="J2" s="303"/>
      <c r="K2" s="1"/>
    </row>
    <row r="3" spans="1:11" ht="19.5" customHeight="1">
      <c r="A3" s="1"/>
      <c r="B3" s="295"/>
      <c r="C3" s="299"/>
      <c r="D3" s="300"/>
      <c r="E3" s="301"/>
      <c r="F3" s="3"/>
      <c r="G3" s="302"/>
      <c r="H3" s="306"/>
      <c r="I3" s="306"/>
      <c r="J3" s="303"/>
      <c r="K3" s="1"/>
    </row>
    <row r="4" spans="1:11" ht="12" customHeight="1">
      <c r="A4" s="1"/>
      <c r="B4" s="2"/>
      <c r="C4" s="3"/>
      <c r="D4" s="3"/>
      <c r="E4" s="3"/>
      <c r="F4" s="3"/>
      <c r="G4" s="4"/>
      <c r="H4" s="4"/>
      <c r="I4" s="306"/>
      <c r="J4" s="303"/>
      <c r="K4" s="8"/>
    </row>
    <row r="5" spans="1:11" ht="15">
      <c r="A5" s="2"/>
      <c r="B5" s="305" t="s">
        <v>1208</v>
      </c>
      <c r="C5" s="306"/>
      <c r="D5" s="306"/>
      <c r="E5" s="303"/>
      <c r="F5" s="9"/>
      <c r="G5" s="10"/>
      <c r="H5" s="10"/>
      <c r="I5" s="10"/>
      <c r="J5" s="10"/>
      <c r="K5" s="2"/>
    </row>
    <row r="6" spans="1:11" ht="15">
      <c r="A6" s="2"/>
      <c r="B6" s="12"/>
      <c r="C6" s="12"/>
      <c r="D6" s="12"/>
      <c r="E6" s="12"/>
      <c r="F6" s="12"/>
      <c r="G6" s="12"/>
      <c r="H6" s="12"/>
      <c r="I6" s="12"/>
      <c r="J6" s="12"/>
      <c r="K6" s="2"/>
    </row>
    <row r="7" spans="1:11" ht="15">
      <c r="A7" s="2"/>
      <c r="B7" s="326" t="s">
        <v>1</v>
      </c>
      <c r="C7" s="297"/>
      <c r="D7" s="297"/>
      <c r="E7" s="297"/>
      <c r="F7" s="297"/>
      <c r="G7" s="297"/>
      <c r="H7" s="297"/>
      <c r="I7" s="297"/>
      <c r="J7" s="298"/>
      <c r="K7" s="1"/>
    </row>
    <row r="8" spans="1:11" ht="15">
      <c r="A8" s="2"/>
      <c r="B8" s="299"/>
      <c r="C8" s="300"/>
      <c r="D8" s="300"/>
      <c r="E8" s="300"/>
      <c r="F8" s="300"/>
      <c r="G8" s="300"/>
      <c r="H8" s="300"/>
      <c r="I8" s="300"/>
      <c r="J8" s="301"/>
      <c r="K8" s="1"/>
    </row>
    <row r="9" spans="1:11" ht="15">
      <c r="A9" s="2"/>
      <c r="B9" s="327" t="s">
        <v>2</v>
      </c>
      <c r="C9" s="306"/>
      <c r="D9" s="306"/>
      <c r="E9" s="306"/>
      <c r="F9" s="306"/>
      <c r="G9" s="306"/>
      <c r="H9" s="306"/>
      <c r="I9" s="306"/>
      <c r="J9" s="306"/>
      <c r="K9" s="1"/>
    </row>
    <row r="10" spans="1:11" ht="15">
      <c r="A10" s="2"/>
      <c r="B10" s="12"/>
      <c r="C10" s="12"/>
      <c r="D10" s="12"/>
      <c r="E10" s="12"/>
      <c r="F10" s="12"/>
      <c r="G10" s="12"/>
      <c r="H10" s="12"/>
      <c r="I10" s="12"/>
      <c r="J10" s="12"/>
      <c r="K10" s="2"/>
    </row>
    <row r="11" spans="1:11" ht="15">
      <c r="A11" s="13"/>
      <c r="B11" s="14" t="s">
        <v>3</v>
      </c>
      <c r="C11" s="13"/>
      <c r="D11" s="13"/>
      <c r="E11" s="13"/>
      <c r="F11" s="13"/>
      <c r="G11" s="13"/>
      <c r="H11" s="13"/>
      <c r="I11" s="13"/>
      <c r="J11" s="13"/>
      <c r="K11" s="1"/>
    </row>
    <row r="12" spans="1:11" ht="15">
      <c r="A12" s="13"/>
      <c r="B12" s="13"/>
      <c r="C12" s="13"/>
      <c r="D12" s="13"/>
      <c r="E12" s="13"/>
      <c r="F12" s="13"/>
      <c r="G12" s="13"/>
      <c r="H12" s="13"/>
      <c r="I12" s="13"/>
      <c r="J12" s="13"/>
      <c r="K12" s="1"/>
    </row>
    <row r="13" spans="1:11" ht="45">
      <c r="A13" s="13"/>
      <c r="B13" s="16" t="s">
        <v>4</v>
      </c>
      <c r="C13" s="17" t="s">
        <v>5</v>
      </c>
      <c r="D13" s="18" t="s">
        <v>6</v>
      </c>
      <c r="E13" s="18" t="s">
        <v>7</v>
      </c>
      <c r="F13" s="18" t="s">
        <v>8</v>
      </c>
      <c r="G13" s="19" t="s">
        <v>9</v>
      </c>
      <c r="H13" s="19" t="s">
        <v>10</v>
      </c>
      <c r="I13" s="20" t="s">
        <v>11</v>
      </c>
      <c r="J13" s="21" t="s">
        <v>12</v>
      </c>
      <c r="K13" s="1"/>
    </row>
    <row r="14" spans="1:11" ht="15">
      <c r="A14" s="22"/>
      <c r="B14" s="23" t="s">
        <v>13</v>
      </c>
      <c r="C14" s="24">
        <v>4823114078705</v>
      </c>
      <c r="D14" s="25" t="s">
        <v>14</v>
      </c>
      <c r="E14" s="24">
        <f ca="1">IFERROR(__xludf.DUMMYFUNCTION("VLOOKUP(SPLIT(D14,"".""),SPLIT(D14,"".""),1)"),143565)</f>
        <v>143565</v>
      </c>
      <c r="F14" s="25" t="s">
        <v>15</v>
      </c>
      <c r="G14" s="26" t="s">
        <v>16</v>
      </c>
      <c r="H14" s="26" t="s">
        <v>17</v>
      </c>
      <c r="I14" s="27">
        <v>289.33</v>
      </c>
      <c r="J14" s="28">
        <v>578.66</v>
      </c>
      <c r="K14" s="1"/>
    </row>
    <row r="15" spans="1:11" ht="15">
      <c r="A15" s="22"/>
      <c r="B15" s="23" t="s">
        <v>13</v>
      </c>
      <c r="C15" s="24">
        <v>4823114078712</v>
      </c>
      <c r="D15" s="25" t="s">
        <v>18</v>
      </c>
      <c r="E15" s="24">
        <f ca="1">IFERROR(__xludf.DUMMYFUNCTION("VLOOKUP(SPLIT(D15,"".""),SPLIT(D15,"".""),1)"),143566)</f>
        <v>143566</v>
      </c>
      <c r="F15" s="25" t="s">
        <v>15</v>
      </c>
      <c r="G15" s="26" t="s">
        <v>19</v>
      </c>
      <c r="H15" s="26" t="s">
        <v>17</v>
      </c>
      <c r="I15" s="29">
        <v>289.33</v>
      </c>
      <c r="J15" s="30">
        <v>578.66</v>
      </c>
      <c r="K15" s="1"/>
    </row>
    <row r="16" spans="1:11" ht="15">
      <c r="A16" s="22"/>
      <c r="B16" s="23" t="s">
        <v>13</v>
      </c>
      <c r="C16" s="24">
        <v>4823114078897</v>
      </c>
      <c r="D16" s="25" t="s">
        <v>20</v>
      </c>
      <c r="E16" s="24">
        <f ca="1">IFERROR(__xludf.DUMMYFUNCTION("VLOOKUP(SPLIT(D16,"".""),SPLIT(D16,"".""),1)"),143579)</f>
        <v>143579</v>
      </c>
      <c r="F16" s="25" t="s">
        <v>21</v>
      </c>
      <c r="G16" s="31" t="s">
        <v>16</v>
      </c>
      <c r="H16" s="26" t="s">
        <v>17</v>
      </c>
      <c r="I16" s="29">
        <v>375.95</v>
      </c>
      <c r="J16" s="30">
        <v>751.91</v>
      </c>
      <c r="K16" s="1"/>
    </row>
    <row r="17" spans="1:11" ht="15">
      <c r="A17" s="22"/>
      <c r="B17" s="23" t="s">
        <v>13</v>
      </c>
      <c r="C17" s="24">
        <v>4823114078903</v>
      </c>
      <c r="D17" s="25" t="s">
        <v>22</v>
      </c>
      <c r="E17" s="24">
        <f ca="1">IFERROR(__xludf.DUMMYFUNCTION("VLOOKUP(SPLIT(D17,"".""),SPLIT(D17,"".""),1)"),143580)</f>
        <v>143580</v>
      </c>
      <c r="F17" s="25" t="s">
        <v>21</v>
      </c>
      <c r="G17" s="31" t="s">
        <v>19</v>
      </c>
      <c r="H17" s="26" t="s">
        <v>17</v>
      </c>
      <c r="I17" s="29">
        <v>375.95</v>
      </c>
      <c r="J17" s="30">
        <v>751.91</v>
      </c>
      <c r="K17" s="1"/>
    </row>
    <row r="18" spans="1:11" ht="15">
      <c r="A18" s="22"/>
      <c r="B18" s="23" t="s">
        <v>13</v>
      </c>
      <c r="C18" s="32">
        <v>4823114070297</v>
      </c>
      <c r="D18" s="33" t="s">
        <v>23</v>
      </c>
      <c r="E18" s="24">
        <f ca="1">IFERROR(__xludf.DUMMYFUNCTION("VLOOKUP(SPLIT(D18,"".""),SPLIT(D18,"".""),1)"),124104)</f>
        <v>124104</v>
      </c>
      <c r="F18" s="34" t="s">
        <v>24</v>
      </c>
      <c r="G18" s="35" t="s">
        <v>25</v>
      </c>
      <c r="H18" s="35" t="s">
        <v>17</v>
      </c>
      <c r="I18" s="36">
        <v>353.85</v>
      </c>
      <c r="J18" s="36">
        <v>707.7</v>
      </c>
      <c r="K18" s="1"/>
    </row>
    <row r="19" spans="1:11" ht="15">
      <c r="A19" s="22"/>
      <c r="B19" s="37" t="s">
        <v>13</v>
      </c>
      <c r="C19" s="38">
        <v>4823114079511</v>
      </c>
      <c r="D19" s="38" t="s">
        <v>26</v>
      </c>
      <c r="E19" s="38">
        <v>142514</v>
      </c>
      <c r="F19" s="39" t="s">
        <v>27</v>
      </c>
      <c r="G19" s="40" t="s">
        <v>16</v>
      </c>
      <c r="H19" s="35" t="s">
        <v>17</v>
      </c>
      <c r="I19" s="41">
        <v>413.55549999999999</v>
      </c>
      <c r="J19" s="41">
        <v>827.11099999999999</v>
      </c>
      <c r="K19" s="1"/>
    </row>
    <row r="20" spans="1:11" ht="15">
      <c r="A20" s="22"/>
      <c r="B20" s="37" t="s">
        <v>13</v>
      </c>
      <c r="C20" s="38">
        <v>4823114079504</v>
      </c>
      <c r="D20" s="38" t="s">
        <v>28</v>
      </c>
      <c r="E20" s="38">
        <v>142513</v>
      </c>
      <c r="F20" s="39" t="s">
        <v>27</v>
      </c>
      <c r="G20" s="40" t="s">
        <v>19</v>
      </c>
      <c r="H20" s="35" t="s">
        <v>17</v>
      </c>
      <c r="I20" s="41">
        <v>413.55549999999999</v>
      </c>
      <c r="J20" s="41">
        <v>827.11099999999999</v>
      </c>
      <c r="K20" s="1"/>
    </row>
    <row r="21" spans="1:11" ht="15">
      <c r="A21" s="22"/>
      <c r="B21" s="37" t="s">
        <v>13</v>
      </c>
      <c r="C21" s="38">
        <v>4823114079498</v>
      </c>
      <c r="D21" s="38" t="s">
        <v>29</v>
      </c>
      <c r="E21" s="38">
        <v>142512</v>
      </c>
      <c r="F21" s="39" t="s">
        <v>30</v>
      </c>
      <c r="G21" s="40" t="s">
        <v>25</v>
      </c>
      <c r="H21" s="35" t="s">
        <v>17</v>
      </c>
      <c r="I21" s="41">
        <v>389.23599999999999</v>
      </c>
      <c r="J21" s="41">
        <v>778.47199999999998</v>
      </c>
      <c r="K21" s="1"/>
    </row>
    <row r="22" spans="1:11" ht="15">
      <c r="A22" s="22"/>
      <c r="B22" s="37" t="s">
        <v>13</v>
      </c>
      <c r="C22" s="38">
        <v>4823114084416</v>
      </c>
      <c r="D22" s="38" t="s">
        <v>31</v>
      </c>
      <c r="E22" s="38">
        <v>158639</v>
      </c>
      <c r="F22" s="39" t="s">
        <v>32</v>
      </c>
      <c r="G22" s="40" t="s">
        <v>16</v>
      </c>
      <c r="H22" s="35" t="s">
        <v>17</v>
      </c>
      <c r="I22" s="41">
        <v>620.32550000000003</v>
      </c>
      <c r="J22" s="41">
        <v>1240.6510000000001</v>
      </c>
      <c r="K22" s="1"/>
    </row>
    <row r="23" spans="1:11" ht="15">
      <c r="A23" s="22"/>
      <c r="B23" s="37" t="s">
        <v>13</v>
      </c>
      <c r="C23" s="38">
        <v>4823114084454</v>
      </c>
      <c r="D23" s="38" t="s">
        <v>33</v>
      </c>
      <c r="E23" s="38">
        <v>158643</v>
      </c>
      <c r="F23" s="39" t="s">
        <v>32</v>
      </c>
      <c r="G23" s="40" t="s">
        <v>19</v>
      </c>
      <c r="H23" s="35" t="s">
        <v>17</v>
      </c>
      <c r="I23" s="41">
        <v>620.32550000000003</v>
      </c>
      <c r="J23" s="41">
        <v>1240.6510000000001</v>
      </c>
      <c r="K23" s="1"/>
    </row>
    <row r="24" spans="1:11" ht="15">
      <c r="A24" s="22"/>
      <c r="B24" s="37" t="s">
        <v>13</v>
      </c>
      <c r="C24" s="38">
        <v>4823114083761</v>
      </c>
      <c r="D24" s="38" t="s">
        <v>34</v>
      </c>
      <c r="E24" s="38">
        <v>141802</v>
      </c>
      <c r="F24" s="39" t="s">
        <v>35</v>
      </c>
      <c r="G24" s="40" t="s">
        <v>25</v>
      </c>
      <c r="H24" s="35" t="s">
        <v>17</v>
      </c>
      <c r="I24" s="41">
        <v>548.01800000000003</v>
      </c>
      <c r="J24" s="41">
        <v>1096.0360000000001</v>
      </c>
      <c r="K24" s="1"/>
    </row>
    <row r="25" spans="1:11" ht="15">
      <c r="A25" s="22"/>
      <c r="B25" s="37" t="s">
        <v>13</v>
      </c>
      <c r="C25" s="38">
        <v>4823114080784</v>
      </c>
      <c r="D25" s="38" t="s">
        <v>36</v>
      </c>
      <c r="E25" s="38">
        <v>148937</v>
      </c>
      <c r="F25" s="39" t="s">
        <v>37</v>
      </c>
      <c r="G25" s="40" t="s">
        <v>16</v>
      </c>
      <c r="H25" s="35" t="s">
        <v>38</v>
      </c>
      <c r="I25" s="41">
        <v>369.286</v>
      </c>
      <c r="J25" s="41">
        <v>738.572</v>
      </c>
      <c r="K25" s="1"/>
    </row>
    <row r="26" spans="1:11" ht="15">
      <c r="A26" s="22"/>
      <c r="B26" s="37" t="s">
        <v>13</v>
      </c>
      <c r="C26" s="38">
        <v>4823114080777</v>
      </c>
      <c r="D26" s="38" t="s">
        <v>39</v>
      </c>
      <c r="E26" s="38">
        <v>148936</v>
      </c>
      <c r="F26" s="39" t="s">
        <v>37</v>
      </c>
      <c r="G26" s="40" t="s">
        <v>19</v>
      </c>
      <c r="H26" s="35" t="s">
        <v>38</v>
      </c>
      <c r="I26" s="41">
        <v>369.286</v>
      </c>
      <c r="J26" s="41">
        <v>738.572</v>
      </c>
      <c r="K26" s="1"/>
    </row>
    <row r="27" spans="1:11" ht="15">
      <c r="A27" s="43"/>
      <c r="B27" s="43"/>
      <c r="C27" s="43"/>
      <c r="D27" s="43"/>
      <c r="E27" s="43"/>
      <c r="F27" s="43"/>
      <c r="G27" s="43"/>
      <c r="H27" s="43"/>
      <c r="I27" s="43"/>
      <c r="J27" s="43"/>
      <c r="K27" s="43"/>
    </row>
    <row r="28" spans="1:11" ht="15">
      <c r="A28" s="43"/>
      <c r="B28" s="14" t="s">
        <v>40</v>
      </c>
      <c r="C28" s="13"/>
      <c r="D28" s="13"/>
      <c r="E28" s="13"/>
      <c r="F28" s="13"/>
      <c r="G28" s="13"/>
      <c r="H28" s="13"/>
      <c r="I28" s="13"/>
      <c r="J28" s="13"/>
      <c r="K28" s="2"/>
    </row>
    <row r="29" spans="1:11" ht="30">
      <c r="A29" s="43"/>
      <c r="B29" s="44" t="s">
        <v>4</v>
      </c>
      <c r="C29" s="17" t="s">
        <v>5</v>
      </c>
      <c r="D29" s="18" t="s">
        <v>6</v>
      </c>
      <c r="E29" s="18" t="s">
        <v>7</v>
      </c>
      <c r="F29" s="18" t="s">
        <v>8</v>
      </c>
      <c r="G29" s="19" t="s">
        <v>9</v>
      </c>
      <c r="H29" s="19" t="s">
        <v>10</v>
      </c>
      <c r="I29" s="20" t="s">
        <v>11</v>
      </c>
      <c r="J29" s="21" t="s">
        <v>41</v>
      </c>
      <c r="K29" s="2"/>
    </row>
    <row r="30" spans="1:11" ht="15">
      <c r="A30" s="43"/>
      <c r="B30" s="45" t="s">
        <v>13</v>
      </c>
      <c r="C30" s="38">
        <v>4823114083303</v>
      </c>
      <c r="D30" s="38" t="s">
        <v>42</v>
      </c>
      <c r="E30" s="38">
        <v>156123</v>
      </c>
      <c r="F30" s="39" t="s">
        <v>43</v>
      </c>
      <c r="G30" s="46" t="s">
        <v>16</v>
      </c>
      <c r="H30" s="35" t="s">
        <v>38</v>
      </c>
      <c r="I30" s="47">
        <v>127.15049999999999</v>
      </c>
      <c r="J30" s="48">
        <v>254.30099999999999</v>
      </c>
      <c r="K30" s="1"/>
    </row>
    <row r="31" spans="1:11" ht="15">
      <c r="A31" s="43"/>
      <c r="B31" s="45" t="s">
        <v>13</v>
      </c>
      <c r="C31" s="38">
        <v>4823114083310</v>
      </c>
      <c r="D31" s="38" t="s">
        <v>44</v>
      </c>
      <c r="E31" s="38">
        <v>156122</v>
      </c>
      <c r="F31" s="39" t="s">
        <v>43</v>
      </c>
      <c r="G31" s="46" t="s">
        <v>19</v>
      </c>
      <c r="H31" s="35" t="s">
        <v>38</v>
      </c>
      <c r="I31" s="47">
        <v>127.15049999999999</v>
      </c>
      <c r="J31" s="48">
        <v>254.30099999999999</v>
      </c>
      <c r="K31" s="1"/>
    </row>
    <row r="32" spans="1:11" ht="15">
      <c r="A32" s="43"/>
      <c r="B32" s="49"/>
      <c r="C32" s="49"/>
      <c r="D32" s="49"/>
      <c r="E32" s="49"/>
      <c r="F32" s="49"/>
      <c r="G32" s="49"/>
      <c r="H32" s="49"/>
      <c r="I32" s="49"/>
      <c r="J32" s="49"/>
      <c r="K32" s="2"/>
    </row>
    <row r="33" spans="1:11" ht="15">
      <c r="A33" s="43"/>
      <c r="B33" s="14" t="s">
        <v>45</v>
      </c>
      <c r="C33" s="13"/>
      <c r="D33" s="13"/>
      <c r="E33" s="13"/>
      <c r="F33" s="13"/>
      <c r="G33" s="13"/>
      <c r="H33" s="13"/>
      <c r="I33" s="13"/>
      <c r="J33" s="13"/>
      <c r="K33" s="2"/>
    </row>
    <row r="34" spans="1:11" ht="30">
      <c r="A34" s="43"/>
      <c r="B34" s="44" t="s">
        <v>4</v>
      </c>
      <c r="C34" s="17" t="s">
        <v>5</v>
      </c>
      <c r="D34" s="18" t="s">
        <v>6</v>
      </c>
      <c r="E34" s="18" t="s">
        <v>7</v>
      </c>
      <c r="F34" s="18" t="s">
        <v>8</v>
      </c>
      <c r="G34" s="19" t="s">
        <v>9</v>
      </c>
      <c r="H34" s="19" t="s">
        <v>10</v>
      </c>
      <c r="I34" s="20" t="s">
        <v>11</v>
      </c>
      <c r="J34" s="21" t="s">
        <v>41</v>
      </c>
      <c r="K34" s="2"/>
    </row>
    <row r="35" spans="1:11" ht="15">
      <c r="A35" s="43"/>
      <c r="B35" s="37" t="s">
        <v>13</v>
      </c>
      <c r="C35" s="38">
        <v>4823114080869</v>
      </c>
      <c r="D35" s="38" t="s">
        <v>46</v>
      </c>
      <c r="E35" s="38">
        <v>149036</v>
      </c>
      <c r="F35" s="39" t="s">
        <v>47</v>
      </c>
      <c r="G35" s="40" t="s">
        <v>16</v>
      </c>
      <c r="H35" s="42" t="s">
        <v>25</v>
      </c>
      <c r="I35" s="41">
        <v>31.464999999999996</v>
      </c>
      <c r="J35" s="41">
        <v>62.929999999999993</v>
      </c>
      <c r="K35" s="1"/>
    </row>
    <row r="36" spans="1:11" ht="15">
      <c r="A36" s="43"/>
      <c r="B36" s="37" t="s">
        <v>13</v>
      </c>
      <c r="C36" s="38">
        <v>4823114080852</v>
      </c>
      <c r="D36" s="38" t="s">
        <v>48</v>
      </c>
      <c r="E36" s="38">
        <v>149035</v>
      </c>
      <c r="F36" s="39" t="s">
        <v>47</v>
      </c>
      <c r="G36" s="40" t="s">
        <v>19</v>
      </c>
      <c r="H36" s="42" t="s">
        <v>25</v>
      </c>
      <c r="I36" s="41">
        <v>31.464999999999996</v>
      </c>
      <c r="J36" s="41">
        <v>62.929999999999993</v>
      </c>
      <c r="K36" s="1"/>
    </row>
    <row r="37" spans="1:11" ht="15">
      <c r="A37" s="43"/>
      <c r="B37" s="37" t="s">
        <v>13</v>
      </c>
      <c r="C37" s="38">
        <v>4823114080883</v>
      </c>
      <c r="D37" s="38" t="s">
        <v>49</v>
      </c>
      <c r="E37" s="38">
        <v>149038</v>
      </c>
      <c r="F37" s="39" t="s">
        <v>50</v>
      </c>
      <c r="G37" s="40" t="s">
        <v>16</v>
      </c>
      <c r="H37" s="42" t="s">
        <v>25</v>
      </c>
      <c r="I37" s="41">
        <v>53.707999999999998</v>
      </c>
      <c r="J37" s="41">
        <v>107.416</v>
      </c>
      <c r="K37" s="1"/>
    </row>
    <row r="38" spans="1:11" ht="15">
      <c r="A38" s="43"/>
      <c r="B38" s="37" t="s">
        <v>13</v>
      </c>
      <c r="C38" s="38">
        <v>4823114080876</v>
      </c>
      <c r="D38" s="38" t="s">
        <v>51</v>
      </c>
      <c r="E38" s="38">
        <v>149037</v>
      </c>
      <c r="F38" s="39" t="s">
        <v>50</v>
      </c>
      <c r="G38" s="40" t="s">
        <v>19</v>
      </c>
      <c r="H38" s="42" t="s">
        <v>25</v>
      </c>
      <c r="I38" s="41">
        <v>53.707999999999998</v>
      </c>
      <c r="J38" s="41">
        <v>107.416</v>
      </c>
      <c r="K38" s="1"/>
    </row>
    <row r="39" spans="1:11" ht="15">
      <c r="A39" s="2"/>
      <c r="B39" s="12"/>
      <c r="C39" s="12"/>
      <c r="D39" s="12"/>
      <c r="E39" s="12"/>
      <c r="F39" s="12"/>
      <c r="G39" s="12"/>
      <c r="H39" s="12"/>
      <c r="I39" s="12"/>
      <c r="J39" s="12"/>
      <c r="K39" s="2"/>
    </row>
    <row r="40" spans="1:11" ht="15">
      <c r="A40" s="2"/>
      <c r="B40" s="51" t="s">
        <v>52</v>
      </c>
      <c r="C40" s="9"/>
      <c r="D40" s="9"/>
      <c r="E40" s="9"/>
      <c r="F40" s="9"/>
      <c r="G40" s="10"/>
      <c r="H40" s="10"/>
      <c r="I40" s="10"/>
      <c r="J40" s="10"/>
      <c r="K40" s="1"/>
    </row>
    <row r="41" spans="1:11" ht="15">
      <c r="A41" s="2"/>
      <c r="B41" s="52"/>
      <c r="C41" s="53"/>
      <c r="D41" s="53"/>
      <c r="E41" s="53"/>
      <c r="F41" s="53"/>
      <c r="G41" s="54"/>
      <c r="H41" s="54"/>
      <c r="I41" s="54"/>
      <c r="J41" s="54"/>
      <c r="K41" s="1"/>
    </row>
    <row r="42" spans="1:11" ht="32.25" customHeight="1">
      <c r="A42" s="2"/>
      <c r="B42" s="16" t="s">
        <v>4</v>
      </c>
      <c r="C42" s="55" t="s">
        <v>5</v>
      </c>
      <c r="D42" s="56" t="s">
        <v>6</v>
      </c>
      <c r="E42" s="56" t="s">
        <v>7</v>
      </c>
      <c r="F42" s="56" t="s">
        <v>8</v>
      </c>
      <c r="G42" s="16" t="s">
        <v>9</v>
      </c>
      <c r="H42" s="19" t="s">
        <v>10</v>
      </c>
      <c r="I42" s="58" t="s">
        <v>11</v>
      </c>
      <c r="J42" s="59" t="s">
        <v>12</v>
      </c>
      <c r="K42" s="1"/>
    </row>
    <row r="43" spans="1:11" ht="15">
      <c r="A43" s="43"/>
      <c r="B43" s="60" t="s">
        <v>13</v>
      </c>
      <c r="C43" s="61">
        <v>4823114075247</v>
      </c>
      <c r="D43" s="61" t="s">
        <v>53</v>
      </c>
      <c r="E43" s="61">
        <f ca="1">IFERROR(__xludf.DUMMYFUNCTION("VLOOKUP(SPLIT(D43,"".""),SPLIT(D43,"".""),1)"),133195)</f>
        <v>133195</v>
      </c>
      <c r="F43" s="62" t="s">
        <v>54</v>
      </c>
      <c r="G43" s="63" t="s">
        <v>16</v>
      </c>
      <c r="H43" s="26" t="s">
        <v>38</v>
      </c>
      <c r="I43" s="27">
        <v>30.69</v>
      </c>
      <c r="J43" s="28">
        <v>61.39</v>
      </c>
      <c r="K43" s="1"/>
    </row>
    <row r="44" spans="1:11" ht="15">
      <c r="A44" s="43"/>
      <c r="B44" s="60" t="s">
        <v>13</v>
      </c>
      <c r="C44" s="61">
        <v>4823114075223</v>
      </c>
      <c r="D44" s="61" t="s">
        <v>55</v>
      </c>
      <c r="E44" s="61">
        <f ca="1">IFERROR(__xludf.DUMMYFUNCTION("VLOOKUP(SPLIT(D44,"".""),SPLIT(D44,"".""),1)"),133194)</f>
        <v>133194</v>
      </c>
      <c r="F44" s="62" t="s">
        <v>54</v>
      </c>
      <c r="G44" s="63" t="s">
        <v>19</v>
      </c>
      <c r="H44" s="26" t="s">
        <v>38</v>
      </c>
      <c r="I44" s="27">
        <v>30.69</v>
      </c>
      <c r="J44" s="28">
        <v>61.39</v>
      </c>
      <c r="K44" s="1"/>
    </row>
    <row r="45" spans="1:11" ht="15">
      <c r="A45" s="43"/>
      <c r="B45" s="60" t="s">
        <v>13</v>
      </c>
      <c r="C45" s="61">
        <v>4823114075285</v>
      </c>
      <c r="D45" s="61" t="s">
        <v>56</v>
      </c>
      <c r="E45" s="61">
        <f ca="1">IFERROR(__xludf.DUMMYFUNCTION("VLOOKUP(SPLIT(D45,"".""),SPLIT(D45,"".""),1)"),133199)</f>
        <v>133199</v>
      </c>
      <c r="F45" s="62" t="s">
        <v>57</v>
      </c>
      <c r="G45" s="63" t="s">
        <v>16</v>
      </c>
      <c r="H45" s="26" t="s">
        <v>38</v>
      </c>
      <c r="I45" s="27">
        <v>46.04</v>
      </c>
      <c r="J45" s="28">
        <v>92.08</v>
      </c>
      <c r="K45" s="1"/>
    </row>
    <row r="46" spans="1:11" ht="15">
      <c r="A46" s="43"/>
      <c r="B46" s="60" t="s">
        <v>13</v>
      </c>
      <c r="C46" s="61">
        <v>4823114075261</v>
      </c>
      <c r="D46" s="61" t="s">
        <v>58</v>
      </c>
      <c r="E46" s="61">
        <f ca="1">IFERROR(__xludf.DUMMYFUNCTION("VLOOKUP(SPLIT(D46,"".""),SPLIT(D46,"".""),1)"),133198)</f>
        <v>133198</v>
      </c>
      <c r="F46" s="62" t="s">
        <v>57</v>
      </c>
      <c r="G46" s="63" t="s">
        <v>19</v>
      </c>
      <c r="H46" s="26" t="s">
        <v>38</v>
      </c>
      <c r="I46" s="27">
        <v>46.04</v>
      </c>
      <c r="J46" s="28">
        <v>92.08</v>
      </c>
      <c r="K46" s="1"/>
    </row>
    <row r="47" spans="1:11" ht="15">
      <c r="A47" s="2"/>
      <c r="B47" s="60" t="s">
        <v>13</v>
      </c>
      <c r="C47" s="61">
        <v>4823114019999</v>
      </c>
      <c r="D47" s="61" t="s">
        <v>59</v>
      </c>
      <c r="E47" s="61">
        <f ca="1">IFERROR(__xludf.DUMMYFUNCTION("VLOOKUP(SPLIT(D47,"".""),SPLIT(D47,"".""),1)"),44392)</f>
        <v>44392</v>
      </c>
      <c r="F47" s="61" t="s">
        <v>60</v>
      </c>
      <c r="G47" s="63" t="s">
        <v>16</v>
      </c>
      <c r="H47" s="26" t="s">
        <v>61</v>
      </c>
      <c r="I47" s="27">
        <v>24.61</v>
      </c>
      <c r="J47" s="64">
        <v>49.22</v>
      </c>
      <c r="K47" s="1"/>
    </row>
    <row r="48" spans="1:11" ht="15">
      <c r="A48" s="2"/>
      <c r="B48" s="65" t="s">
        <v>13</v>
      </c>
      <c r="C48" s="61">
        <v>4823114019982</v>
      </c>
      <c r="D48" s="61" t="s">
        <v>62</v>
      </c>
      <c r="E48" s="61">
        <f ca="1">IFERROR(__xludf.DUMMYFUNCTION("VLOOKUP(SPLIT(D48,"".""),SPLIT(D48,"".""),1)"),44393)</f>
        <v>44393</v>
      </c>
      <c r="F48" s="61" t="s">
        <v>60</v>
      </c>
      <c r="G48" s="63" t="s">
        <v>19</v>
      </c>
      <c r="H48" s="26" t="s">
        <v>61</v>
      </c>
      <c r="I48" s="27">
        <v>24.61</v>
      </c>
      <c r="J48" s="64">
        <v>49.22</v>
      </c>
      <c r="K48" s="1"/>
    </row>
    <row r="49" spans="1:11" ht="15">
      <c r="A49" s="2"/>
      <c r="B49" s="65" t="s">
        <v>13</v>
      </c>
      <c r="C49" s="61">
        <v>4823114019975</v>
      </c>
      <c r="D49" s="61" t="s">
        <v>63</v>
      </c>
      <c r="E49" s="61">
        <f ca="1">IFERROR(__xludf.DUMMYFUNCTION("VLOOKUP(SPLIT(D49,"".""),SPLIT(D49,"".""),1)"),44394)</f>
        <v>44394</v>
      </c>
      <c r="F49" s="61" t="s">
        <v>64</v>
      </c>
      <c r="G49" s="63" t="s">
        <v>16</v>
      </c>
      <c r="H49" s="26" t="s">
        <v>61</v>
      </c>
      <c r="I49" s="66">
        <v>36.909999999999997</v>
      </c>
      <c r="J49" s="67">
        <v>73.819999999999993</v>
      </c>
      <c r="K49" s="1"/>
    </row>
    <row r="50" spans="1:11" ht="15">
      <c r="A50" s="2"/>
      <c r="B50" s="68" t="s">
        <v>13</v>
      </c>
      <c r="C50" s="69">
        <v>4823114019968</v>
      </c>
      <c r="D50" s="69" t="s">
        <v>65</v>
      </c>
      <c r="E50" s="61">
        <f ca="1">IFERROR(__xludf.DUMMYFUNCTION("VLOOKUP(SPLIT(D50,"".""),SPLIT(D50,"".""),1)"),44395)</f>
        <v>44395</v>
      </c>
      <c r="F50" s="69" t="s">
        <v>64</v>
      </c>
      <c r="G50" s="70" t="s">
        <v>19</v>
      </c>
      <c r="H50" s="26" t="s">
        <v>61</v>
      </c>
      <c r="I50" s="71">
        <v>36.909999999999997</v>
      </c>
      <c r="J50" s="72">
        <v>73.819999999999993</v>
      </c>
      <c r="K50" s="1"/>
    </row>
    <row r="51" spans="1:11" ht="15">
      <c r="A51" s="2"/>
      <c r="B51" s="60" t="s">
        <v>13</v>
      </c>
      <c r="C51" s="61">
        <v>4823114078620</v>
      </c>
      <c r="D51" s="61" t="s">
        <v>66</v>
      </c>
      <c r="E51" s="61">
        <f ca="1">IFERROR(__xludf.DUMMYFUNCTION("VLOOKUP(SPLIT(D51,"".""),SPLIT(D51,"".""),1)"),143555)</f>
        <v>143555</v>
      </c>
      <c r="F51" s="61" t="s">
        <v>67</v>
      </c>
      <c r="G51" s="63" t="s">
        <v>16</v>
      </c>
      <c r="H51" s="26" t="s">
        <v>61</v>
      </c>
      <c r="I51" s="71">
        <v>40.6</v>
      </c>
      <c r="J51" s="72">
        <v>81.19</v>
      </c>
      <c r="K51" s="1"/>
    </row>
    <row r="52" spans="1:11" ht="15">
      <c r="A52" s="2"/>
      <c r="B52" s="60" t="s">
        <v>13</v>
      </c>
      <c r="C52" s="61">
        <v>4823114078637</v>
      </c>
      <c r="D52" s="61" t="s">
        <v>68</v>
      </c>
      <c r="E52" s="61">
        <f ca="1">IFERROR(__xludf.DUMMYFUNCTION("VLOOKUP(SPLIT(D52,"".""),SPLIT(D52,"".""),1)"),143556)</f>
        <v>143556</v>
      </c>
      <c r="F52" s="61" t="s">
        <v>67</v>
      </c>
      <c r="G52" s="63" t="s">
        <v>19</v>
      </c>
      <c r="H52" s="26" t="s">
        <v>61</v>
      </c>
      <c r="I52" s="71">
        <v>40.6</v>
      </c>
      <c r="J52" s="72">
        <v>81.19</v>
      </c>
      <c r="K52" s="1"/>
    </row>
    <row r="53" spans="1:11" ht="15">
      <c r="A53" s="2"/>
      <c r="B53" s="37" t="s">
        <v>13</v>
      </c>
      <c r="C53" s="38">
        <v>4823114074790</v>
      </c>
      <c r="D53" s="38" t="s">
        <v>69</v>
      </c>
      <c r="E53" s="38">
        <v>130591</v>
      </c>
      <c r="F53" s="73" t="s">
        <v>70</v>
      </c>
      <c r="G53" s="40" t="s">
        <v>16</v>
      </c>
      <c r="H53" s="35" t="s">
        <v>38</v>
      </c>
      <c r="I53" s="41">
        <v>50.648499999999999</v>
      </c>
      <c r="J53" s="41">
        <v>101.297</v>
      </c>
      <c r="K53" s="1"/>
    </row>
    <row r="54" spans="1:11" ht="15">
      <c r="A54" s="2"/>
      <c r="B54" s="37" t="s">
        <v>13</v>
      </c>
      <c r="C54" s="38">
        <v>4823114074783</v>
      </c>
      <c r="D54" s="38" t="s">
        <v>71</v>
      </c>
      <c r="E54" s="38">
        <v>130590</v>
      </c>
      <c r="F54" s="73" t="s">
        <v>70</v>
      </c>
      <c r="G54" s="40" t="s">
        <v>19</v>
      </c>
      <c r="H54" s="35" t="s">
        <v>38</v>
      </c>
      <c r="I54" s="41">
        <v>50.648499999999999</v>
      </c>
      <c r="J54" s="41">
        <v>101.297</v>
      </c>
      <c r="K54" s="1"/>
    </row>
    <row r="55" spans="1:11" ht="15">
      <c r="A55" s="2"/>
      <c r="B55" s="74"/>
      <c r="C55" s="75"/>
      <c r="D55" s="75"/>
      <c r="E55" s="75"/>
      <c r="F55" s="75"/>
      <c r="G55" s="76"/>
      <c r="H55" s="76"/>
      <c r="I55" s="76"/>
      <c r="J55" s="76"/>
      <c r="K55" s="2"/>
    </row>
    <row r="56" spans="1:11" ht="15">
      <c r="A56" s="2"/>
      <c r="B56" s="51" t="s">
        <v>72</v>
      </c>
      <c r="C56" s="9"/>
      <c r="D56" s="9"/>
      <c r="E56" s="9"/>
      <c r="F56" s="9"/>
      <c r="G56" s="10"/>
      <c r="H56" s="10"/>
      <c r="I56" s="10"/>
      <c r="J56" s="10"/>
      <c r="K56" s="1"/>
    </row>
    <row r="57" spans="1:11" ht="15">
      <c r="A57" s="2"/>
      <c r="B57" s="2"/>
      <c r="C57" s="9"/>
      <c r="D57" s="9"/>
      <c r="E57" s="9"/>
      <c r="F57" s="9"/>
      <c r="G57" s="10"/>
      <c r="H57" s="10"/>
      <c r="I57" s="10"/>
      <c r="J57" s="10"/>
      <c r="K57" s="1"/>
    </row>
    <row r="58" spans="1:11" ht="33" customHeight="1">
      <c r="A58" s="2"/>
      <c r="B58" s="16" t="s">
        <v>4</v>
      </c>
      <c r="C58" s="55" t="s">
        <v>5</v>
      </c>
      <c r="D58" s="56" t="s">
        <v>6</v>
      </c>
      <c r="E58" s="56" t="s">
        <v>7</v>
      </c>
      <c r="F58" s="56" t="s">
        <v>8</v>
      </c>
      <c r="G58" s="16" t="s">
        <v>9</v>
      </c>
      <c r="H58" s="19" t="s">
        <v>10</v>
      </c>
      <c r="I58" s="58" t="s">
        <v>11</v>
      </c>
      <c r="J58" s="59" t="s">
        <v>12</v>
      </c>
      <c r="K58" s="1"/>
    </row>
    <row r="59" spans="1:11" ht="15">
      <c r="A59" s="43"/>
      <c r="B59" s="60" t="s">
        <v>13</v>
      </c>
      <c r="C59" s="61">
        <v>4823114075322</v>
      </c>
      <c r="D59" s="61" t="s">
        <v>73</v>
      </c>
      <c r="E59" s="61">
        <f ca="1">IFERROR(__xludf.DUMMYFUNCTION("VLOOKUP(SPLIT(D59,"".""),SPLIT(D59,"".""),1)"),133203)</f>
        <v>133203</v>
      </c>
      <c r="F59" s="62" t="s">
        <v>74</v>
      </c>
      <c r="G59" s="63" t="s">
        <v>16</v>
      </c>
      <c r="H59" s="26" t="s">
        <v>38</v>
      </c>
      <c r="I59" s="27">
        <v>47.48</v>
      </c>
      <c r="J59" s="28">
        <v>94.96</v>
      </c>
      <c r="K59" s="1"/>
    </row>
    <row r="60" spans="1:11" ht="15">
      <c r="A60" s="43"/>
      <c r="B60" s="60" t="s">
        <v>13</v>
      </c>
      <c r="C60" s="61">
        <v>4823114075308</v>
      </c>
      <c r="D60" s="61" t="s">
        <v>75</v>
      </c>
      <c r="E60" s="61">
        <f ca="1">IFERROR(__xludf.DUMMYFUNCTION("VLOOKUP(SPLIT(D60,"".""),SPLIT(D60,"".""),1)"),133202)</f>
        <v>133202</v>
      </c>
      <c r="F60" s="62" t="s">
        <v>74</v>
      </c>
      <c r="G60" s="63" t="s">
        <v>19</v>
      </c>
      <c r="H60" s="26" t="s">
        <v>38</v>
      </c>
      <c r="I60" s="27">
        <v>47.48</v>
      </c>
      <c r="J60" s="28">
        <v>94.96</v>
      </c>
      <c r="K60" s="2"/>
    </row>
    <row r="61" spans="1:11" ht="15">
      <c r="A61" s="43"/>
      <c r="B61" s="65" t="s">
        <v>13</v>
      </c>
      <c r="C61" s="61">
        <v>4823114019951</v>
      </c>
      <c r="D61" s="61" t="s">
        <v>76</v>
      </c>
      <c r="E61" s="61">
        <f ca="1">IFERROR(__xludf.DUMMYFUNCTION("VLOOKUP(SPLIT(D61,"".""),SPLIT(D61,"".""),1)"),44396)</f>
        <v>44396</v>
      </c>
      <c r="F61" s="61" t="s">
        <v>77</v>
      </c>
      <c r="G61" s="63" t="s">
        <v>16</v>
      </c>
      <c r="H61" s="26" t="s">
        <v>61</v>
      </c>
      <c r="I61" s="27">
        <v>41.53</v>
      </c>
      <c r="J61" s="64">
        <v>83.05</v>
      </c>
      <c r="K61" s="2"/>
    </row>
    <row r="62" spans="1:11" ht="15">
      <c r="A62" s="43"/>
      <c r="B62" s="65" t="s">
        <v>13</v>
      </c>
      <c r="C62" s="61">
        <v>4823114019944</v>
      </c>
      <c r="D62" s="61" t="s">
        <v>78</v>
      </c>
      <c r="E62" s="61">
        <f ca="1">IFERROR(__xludf.DUMMYFUNCTION("VLOOKUP(SPLIT(D62,"".""),SPLIT(D62,"".""),1)"),44397)</f>
        <v>44397</v>
      </c>
      <c r="F62" s="61" t="s">
        <v>77</v>
      </c>
      <c r="G62" s="63" t="s">
        <v>19</v>
      </c>
      <c r="H62" s="26" t="s">
        <v>61</v>
      </c>
      <c r="I62" s="27">
        <v>41.53</v>
      </c>
      <c r="J62" s="64">
        <v>83.05</v>
      </c>
      <c r="K62" s="1"/>
    </row>
    <row r="63" spans="1:11" ht="15">
      <c r="A63" s="2"/>
      <c r="B63" s="74"/>
      <c r="C63" s="75"/>
      <c r="D63" s="75"/>
      <c r="E63" s="75"/>
      <c r="F63" s="75"/>
      <c r="G63" s="76"/>
      <c r="H63" s="76"/>
      <c r="I63" s="76"/>
      <c r="J63" s="76"/>
      <c r="K63" s="1"/>
    </row>
    <row r="64" spans="1:11" ht="15">
      <c r="A64" s="2"/>
      <c r="B64" s="51" t="s">
        <v>79</v>
      </c>
      <c r="C64" s="9"/>
      <c r="D64" s="9"/>
      <c r="E64" s="9"/>
      <c r="F64" s="9"/>
      <c r="G64" s="10"/>
      <c r="H64" s="10"/>
      <c r="I64" s="10"/>
      <c r="J64" s="10"/>
      <c r="K64" s="1"/>
    </row>
    <row r="65" spans="1:11" ht="15">
      <c r="A65" s="2"/>
      <c r="B65" s="2"/>
      <c r="C65" s="9"/>
      <c r="D65" s="9"/>
      <c r="E65" s="9"/>
      <c r="F65" s="9"/>
      <c r="G65" s="10"/>
      <c r="H65" s="10"/>
      <c r="I65" s="10"/>
      <c r="J65" s="10"/>
      <c r="K65" s="1"/>
    </row>
    <row r="66" spans="1:11" ht="33" customHeight="1">
      <c r="A66" s="2"/>
      <c r="B66" s="16" t="s">
        <v>4</v>
      </c>
      <c r="C66" s="55" t="s">
        <v>5</v>
      </c>
      <c r="D66" s="56" t="s">
        <v>6</v>
      </c>
      <c r="E66" s="56" t="s">
        <v>7</v>
      </c>
      <c r="F66" s="56" t="s">
        <v>8</v>
      </c>
      <c r="G66" s="16" t="s">
        <v>9</v>
      </c>
      <c r="H66" s="19" t="s">
        <v>10</v>
      </c>
      <c r="I66" s="58" t="s">
        <v>11</v>
      </c>
      <c r="J66" s="59" t="s">
        <v>12</v>
      </c>
      <c r="K66" s="1"/>
    </row>
    <row r="67" spans="1:11" ht="15">
      <c r="A67" s="43"/>
      <c r="B67" s="60" t="s">
        <v>13</v>
      </c>
      <c r="C67" s="61">
        <v>4823114075490</v>
      </c>
      <c r="D67" s="61" t="s">
        <v>80</v>
      </c>
      <c r="E67" s="61">
        <f ca="1">IFERROR(__xludf.DUMMYFUNCTION("VLOOKUP(SPLIT(D67,"".""),SPLIT(D67,"".""),1)"),133219)</f>
        <v>133219</v>
      </c>
      <c r="F67" s="62" t="s">
        <v>81</v>
      </c>
      <c r="G67" s="63" t="s">
        <v>16</v>
      </c>
      <c r="H67" s="26" t="s">
        <v>38</v>
      </c>
      <c r="I67" s="27">
        <v>47.48</v>
      </c>
      <c r="J67" s="28">
        <v>94.96</v>
      </c>
      <c r="K67" s="1"/>
    </row>
    <row r="68" spans="1:11" ht="15">
      <c r="A68" s="43"/>
      <c r="B68" s="60" t="s">
        <v>13</v>
      </c>
      <c r="C68" s="61">
        <v>4823114075476</v>
      </c>
      <c r="D68" s="61" t="s">
        <v>82</v>
      </c>
      <c r="E68" s="61">
        <f ca="1">IFERROR(__xludf.DUMMYFUNCTION("VLOOKUP(SPLIT(D68,"".""),SPLIT(D68,"".""),1)"),133218)</f>
        <v>133218</v>
      </c>
      <c r="F68" s="62" t="s">
        <v>81</v>
      </c>
      <c r="G68" s="63" t="s">
        <v>19</v>
      </c>
      <c r="H68" s="26" t="s">
        <v>38</v>
      </c>
      <c r="I68" s="27">
        <v>47.48</v>
      </c>
      <c r="J68" s="28">
        <v>94.96</v>
      </c>
      <c r="K68" s="2"/>
    </row>
    <row r="69" spans="1:11" ht="15">
      <c r="A69" s="43"/>
      <c r="B69" s="60" t="s">
        <v>13</v>
      </c>
      <c r="C69" s="61">
        <v>4823114075537</v>
      </c>
      <c r="D69" s="61" t="s">
        <v>83</v>
      </c>
      <c r="E69" s="61">
        <f ca="1">IFERROR(__xludf.DUMMYFUNCTION("VLOOKUP(SPLIT(D69,"".""),SPLIT(D69,"".""),1)"),133223)</f>
        <v>133223</v>
      </c>
      <c r="F69" s="62" t="s">
        <v>84</v>
      </c>
      <c r="G69" s="63" t="s">
        <v>16</v>
      </c>
      <c r="H69" s="26" t="s">
        <v>38</v>
      </c>
      <c r="I69" s="27">
        <v>66.819999999999993</v>
      </c>
      <c r="J69" s="28">
        <v>133.65</v>
      </c>
      <c r="K69" s="2"/>
    </row>
    <row r="70" spans="1:11" ht="15">
      <c r="A70" s="43"/>
      <c r="B70" s="60" t="s">
        <v>13</v>
      </c>
      <c r="C70" s="61">
        <v>4823114075513</v>
      </c>
      <c r="D70" s="61" t="s">
        <v>85</v>
      </c>
      <c r="E70" s="61">
        <f ca="1">IFERROR(__xludf.DUMMYFUNCTION("VLOOKUP(SPLIT(D70,"".""),SPLIT(D70,"".""),1)"),133222)</f>
        <v>133222</v>
      </c>
      <c r="F70" s="62" t="s">
        <v>84</v>
      </c>
      <c r="G70" s="63" t="s">
        <v>19</v>
      </c>
      <c r="H70" s="26" t="s">
        <v>38</v>
      </c>
      <c r="I70" s="27">
        <v>66.819999999999993</v>
      </c>
      <c r="J70" s="28">
        <v>133.65</v>
      </c>
      <c r="K70" s="1"/>
    </row>
    <row r="71" spans="1:11" ht="15">
      <c r="A71" s="43"/>
      <c r="B71" s="60" t="s">
        <v>13</v>
      </c>
      <c r="C71" s="61">
        <v>4823114075445</v>
      </c>
      <c r="D71" s="61" t="s">
        <v>86</v>
      </c>
      <c r="E71" s="61">
        <f ca="1">IFERROR(__xludf.DUMMYFUNCTION("VLOOKUP(SPLIT(D71,"".""),SPLIT(D71,"".""),1)"),133215)</f>
        <v>133215</v>
      </c>
      <c r="F71" s="62" t="s">
        <v>87</v>
      </c>
      <c r="G71" s="63" t="s">
        <v>16</v>
      </c>
      <c r="H71" s="26" t="s">
        <v>38</v>
      </c>
      <c r="I71" s="27">
        <v>119.93</v>
      </c>
      <c r="J71" s="28">
        <v>239.86</v>
      </c>
      <c r="K71" s="1"/>
    </row>
    <row r="72" spans="1:11" ht="15">
      <c r="A72" s="43"/>
      <c r="B72" s="60" t="s">
        <v>13</v>
      </c>
      <c r="C72" s="61">
        <v>4823114075421</v>
      </c>
      <c r="D72" s="61" t="s">
        <v>88</v>
      </c>
      <c r="E72" s="61">
        <f ca="1">IFERROR(__xludf.DUMMYFUNCTION("VLOOKUP(SPLIT(D72,"".""),SPLIT(D72,"".""),1)"),133214)</f>
        <v>133214</v>
      </c>
      <c r="F72" s="62" t="s">
        <v>87</v>
      </c>
      <c r="G72" s="63" t="s">
        <v>19</v>
      </c>
      <c r="H72" s="26" t="s">
        <v>38</v>
      </c>
      <c r="I72" s="27">
        <v>119.93</v>
      </c>
      <c r="J72" s="28">
        <v>239.86</v>
      </c>
      <c r="K72" s="1"/>
    </row>
    <row r="73" spans="1:11" ht="15">
      <c r="A73" s="43"/>
      <c r="B73" s="60" t="s">
        <v>13</v>
      </c>
      <c r="C73" s="61">
        <v>4823114067570</v>
      </c>
      <c r="D73" s="61" t="s">
        <v>89</v>
      </c>
      <c r="E73" s="61">
        <f ca="1">IFERROR(__xludf.DUMMYFUNCTION("VLOOKUP(SPLIT(D73,"".""),SPLIT(D73,"".""),1)"),116768)</f>
        <v>116768</v>
      </c>
      <c r="F73" s="61" t="s">
        <v>90</v>
      </c>
      <c r="G73" s="63" t="s">
        <v>19</v>
      </c>
      <c r="H73" s="26" t="s">
        <v>38</v>
      </c>
      <c r="I73" s="27">
        <v>128.13999999999999</v>
      </c>
      <c r="J73" s="27">
        <v>256.27999999999997</v>
      </c>
      <c r="K73" s="78"/>
    </row>
    <row r="74" spans="1:11" ht="15">
      <c r="A74" s="43"/>
      <c r="B74" s="60" t="s">
        <v>13</v>
      </c>
      <c r="C74" s="61">
        <v>4823114068324</v>
      </c>
      <c r="D74" s="61" t="s">
        <v>91</v>
      </c>
      <c r="E74" s="61">
        <f ca="1">IFERROR(__xludf.DUMMYFUNCTION("VLOOKUP(SPLIT(D74,"".""),SPLIT(D74,"".""),1)"),118275)</f>
        <v>118275</v>
      </c>
      <c r="F74" s="61" t="s">
        <v>92</v>
      </c>
      <c r="G74" s="63" t="s">
        <v>16</v>
      </c>
      <c r="H74" s="26" t="s">
        <v>38</v>
      </c>
      <c r="I74" s="27">
        <v>122.03</v>
      </c>
      <c r="J74" s="27">
        <v>244.06</v>
      </c>
      <c r="K74" s="79"/>
    </row>
    <row r="75" spans="1:11" ht="15">
      <c r="A75" s="43"/>
      <c r="B75" s="60" t="s">
        <v>13</v>
      </c>
      <c r="C75" s="61">
        <v>4823114068317</v>
      </c>
      <c r="D75" s="61" t="s">
        <v>93</v>
      </c>
      <c r="E75" s="61">
        <f ca="1">IFERROR(__xludf.DUMMYFUNCTION("VLOOKUP(SPLIT(D75,"".""),SPLIT(D75,"".""),1)"),118274)</f>
        <v>118274</v>
      </c>
      <c r="F75" s="61" t="s">
        <v>92</v>
      </c>
      <c r="G75" s="63" t="s">
        <v>19</v>
      </c>
      <c r="H75" s="26" t="s">
        <v>38</v>
      </c>
      <c r="I75" s="27">
        <v>122.03</v>
      </c>
      <c r="J75" s="27">
        <v>244.06</v>
      </c>
      <c r="K75" s="79"/>
    </row>
    <row r="76" spans="1:11" ht="15">
      <c r="A76" s="2"/>
      <c r="B76" s="60" t="s">
        <v>13</v>
      </c>
      <c r="C76" s="61">
        <v>4823114075209</v>
      </c>
      <c r="D76" s="61" t="s">
        <v>94</v>
      </c>
      <c r="E76" s="61">
        <f ca="1">IFERROR(__xludf.DUMMYFUNCTION("VLOOKUP(SPLIT(D76,"".""),SPLIT(D76,"".""),1)"),133191)</f>
        <v>133191</v>
      </c>
      <c r="F76" s="62" t="s">
        <v>95</v>
      </c>
      <c r="G76" s="63" t="s">
        <v>16</v>
      </c>
      <c r="H76" s="26" t="s">
        <v>38</v>
      </c>
      <c r="I76" s="27">
        <v>66.819999999999993</v>
      </c>
      <c r="J76" s="28">
        <v>133.65</v>
      </c>
      <c r="K76" s="1"/>
    </row>
    <row r="77" spans="1:11" ht="15">
      <c r="A77" s="2"/>
      <c r="B77" s="60" t="s">
        <v>13</v>
      </c>
      <c r="C77" s="61">
        <v>4823114075186</v>
      </c>
      <c r="D77" s="61" t="s">
        <v>96</v>
      </c>
      <c r="E77" s="61">
        <f ca="1">IFERROR(__xludf.DUMMYFUNCTION("VLOOKUP(SPLIT(D77,"".""),SPLIT(D77,"".""),1)"),133190)</f>
        <v>133190</v>
      </c>
      <c r="F77" s="62" t="s">
        <v>95</v>
      </c>
      <c r="G77" s="63" t="s">
        <v>19</v>
      </c>
      <c r="H77" s="26" t="s">
        <v>38</v>
      </c>
      <c r="I77" s="27">
        <v>66.819999999999993</v>
      </c>
      <c r="J77" s="28">
        <v>133.65</v>
      </c>
      <c r="K77" s="1"/>
    </row>
    <row r="78" spans="1:11" ht="15">
      <c r="A78" s="2"/>
      <c r="B78" s="65" t="s">
        <v>13</v>
      </c>
      <c r="C78" s="80">
        <v>4823114079252</v>
      </c>
      <c r="D78" s="80" t="s">
        <v>97</v>
      </c>
      <c r="E78" s="61">
        <v>143617</v>
      </c>
      <c r="F78" s="80" t="s">
        <v>98</v>
      </c>
      <c r="G78" s="81" t="s">
        <v>16</v>
      </c>
      <c r="H78" s="26" t="s">
        <v>61</v>
      </c>
      <c r="I78" s="27">
        <v>41.53</v>
      </c>
      <c r="J78" s="64">
        <v>83.05</v>
      </c>
      <c r="K78" s="1"/>
    </row>
    <row r="79" spans="1:11" ht="15">
      <c r="A79" s="2"/>
      <c r="B79" s="65" t="s">
        <v>13</v>
      </c>
      <c r="C79" s="61">
        <v>4823114079269</v>
      </c>
      <c r="D79" s="61" t="s">
        <v>99</v>
      </c>
      <c r="E79" s="61">
        <v>143618</v>
      </c>
      <c r="F79" s="61" t="s">
        <v>98</v>
      </c>
      <c r="G79" s="63" t="s">
        <v>19</v>
      </c>
      <c r="H79" s="26" t="s">
        <v>61</v>
      </c>
      <c r="I79" s="27">
        <v>41.53</v>
      </c>
      <c r="J79" s="64">
        <v>83.05</v>
      </c>
      <c r="K79" s="1"/>
    </row>
    <row r="80" spans="1:11" ht="15">
      <c r="A80" s="2"/>
      <c r="B80" s="65" t="s">
        <v>13</v>
      </c>
      <c r="C80" s="61">
        <v>4823114079337</v>
      </c>
      <c r="D80" s="61" t="s">
        <v>100</v>
      </c>
      <c r="E80" s="61">
        <f ca="1">IFERROR(__xludf.DUMMYFUNCTION("VLOOKUP(SPLIT(D80,"".""),SPLIT(D80,"".""),1)"),143623)</f>
        <v>143623</v>
      </c>
      <c r="F80" s="61" t="s">
        <v>101</v>
      </c>
      <c r="G80" s="63" t="s">
        <v>16</v>
      </c>
      <c r="H80" s="26" t="s">
        <v>61</v>
      </c>
      <c r="I80" s="27">
        <v>58.44</v>
      </c>
      <c r="J80" s="64">
        <v>116.89</v>
      </c>
      <c r="K80" s="1"/>
    </row>
    <row r="81" spans="1:11" ht="15">
      <c r="A81" s="2"/>
      <c r="B81" s="65" t="s">
        <v>13</v>
      </c>
      <c r="C81" s="61">
        <v>4823114079344</v>
      </c>
      <c r="D81" s="61" t="s">
        <v>102</v>
      </c>
      <c r="E81" s="61">
        <f ca="1">IFERROR(__xludf.DUMMYFUNCTION("VLOOKUP(SPLIT(D81,"".""),SPLIT(D81,"".""),1)"),143624)</f>
        <v>143624</v>
      </c>
      <c r="F81" s="61" t="s">
        <v>101</v>
      </c>
      <c r="G81" s="63" t="s">
        <v>19</v>
      </c>
      <c r="H81" s="26" t="s">
        <v>61</v>
      </c>
      <c r="I81" s="27">
        <v>58.44</v>
      </c>
      <c r="J81" s="64">
        <v>116.89</v>
      </c>
      <c r="K81" s="1"/>
    </row>
    <row r="82" spans="1:11" ht="15">
      <c r="A82" s="2"/>
      <c r="B82" s="65" t="s">
        <v>13</v>
      </c>
      <c r="C82" s="61">
        <v>4823114039096</v>
      </c>
      <c r="D82" s="61" t="s">
        <v>103</v>
      </c>
      <c r="E82" s="61">
        <f ca="1">IFERROR(__xludf.DUMMYFUNCTION("VLOOKUP(SPLIT(D82,"".""),SPLIT(D82,"".""),1)"),44402)</f>
        <v>44402</v>
      </c>
      <c r="F82" s="61" t="s">
        <v>104</v>
      </c>
      <c r="G82" s="63" t="s">
        <v>16</v>
      </c>
      <c r="H82" s="26" t="s">
        <v>61</v>
      </c>
      <c r="I82" s="27">
        <v>105.95</v>
      </c>
      <c r="J82" s="28">
        <v>211.9</v>
      </c>
      <c r="K82" s="2"/>
    </row>
    <row r="83" spans="1:11" ht="15">
      <c r="A83" s="2"/>
      <c r="B83" s="65" t="s">
        <v>13</v>
      </c>
      <c r="C83" s="61">
        <v>4823114039140</v>
      </c>
      <c r="D83" s="61" t="s">
        <v>105</v>
      </c>
      <c r="E83" s="61">
        <f ca="1">IFERROR(__xludf.DUMMYFUNCTION("VLOOKUP(SPLIT(D83,"".""),SPLIT(D83,"".""),1)"),44403)</f>
        <v>44403</v>
      </c>
      <c r="F83" s="61" t="s">
        <v>104</v>
      </c>
      <c r="G83" s="63" t="s">
        <v>19</v>
      </c>
      <c r="H83" s="26" t="s">
        <v>61</v>
      </c>
      <c r="I83" s="27">
        <v>105.95</v>
      </c>
      <c r="J83" s="28">
        <v>211.9</v>
      </c>
      <c r="K83" s="2"/>
    </row>
    <row r="84" spans="1:11" ht="15">
      <c r="A84" s="2"/>
      <c r="B84" s="65" t="s">
        <v>13</v>
      </c>
      <c r="C84" s="24">
        <v>4823114079177</v>
      </c>
      <c r="D84" s="25" t="s">
        <v>106</v>
      </c>
      <c r="E84" s="24">
        <f ca="1">IFERROR(__xludf.DUMMYFUNCTION("VLOOKUP(SPLIT(D84,"".""),SPLIT(D84,"".""),1)"),143611)</f>
        <v>143611</v>
      </c>
      <c r="F84" s="25" t="s">
        <v>107</v>
      </c>
      <c r="G84" s="63" t="s">
        <v>16</v>
      </c>
      <c r="H84" s="26" t="s">
        <v>61</v>
      </c>
      <c r="I84" s="27">
        <v>116.55</v>
      </c>
      <c r="J84" s="28">
        <v>233.09</v>
      </c>
      <c r="K84" s="1"/>
    </row>
    <row r="85" spans="1:11" ht="15">
      <c r="A85" s="2"/>
      <c r="B85" s="65" t="s">
        <v>13</v>
      </c>
      <c r="C85" s="24">
        <v>4823114079184</v>
      </c>
      <c r="D85" s="25" t="s">
        <v>108</v>
      </c>
      <c r="E85" s="24">
        <f ca="1">IFERROR(__xludf.DUMMYFUNCTION("VLOOKUP(SPLIT(D85,"".""),SPLIT(D85,"".""),1)"),143612)</f>
        <v>143612</v>
      </c>
      <c r="F85" s="25" t="s">
        <v>107</v>
      </c>
      <c r="G85" s="63" t="s">
        <v>19</v>
      </c>
      <c r="H85" s="26" t="s">
        <v>61</v>
      </c>
      <c r="I85" s="27">
        <v>116.55</v>
      </c>
      <c r="J85" s="28">
        <v>233.09</v>
      </c>
      <c r="K85" s="1"/>
    </row>
    <row r="86" spans="1:11" ht="15">
      <c r="A86" s="2"/>
      <c r="B86" s="60" t="s">
        <v>13</v>
      </c>
      <c r="C86" s="61">
        <v>4823114020001</v>
      </c>
      <c r="D86" s="61" t="s">
        <v>109</v>
      </c>
      <c r="E86" s="61">
        <f ca="1">IFERROR(__xludf.DUMMYFUNCTION("VLOOKUP(SPLIT(D86,"".""),SPLIT(D86,"".""),1)"),44390)</f>
        <v>44390</v>
      </c>
      <c r="F86" s="61" t="s">
        <v>110</v>
      </c>
      <c r="G86" s="63" t="s">
        <v>16</v>
      </c>
      <c r="H86" s="26" t="s">
        <v>61</v>
      </c>
      <c r="I86" s="27">
        <v>58.44</v>
      </c>
      <c r="J86" s="64">
        <v>116.89</v>
      </c>
      <c r="K86" s="1"/>
    </row>
    <row r="87" spans="1:11" ht="15">
      <c r="A87" s="2"/>
      <c r="B87" s="65" t="s">
        <v>13</v>
      </c>
      <c r="C87" s="61">
        <v>4823114020018</v>
      </c>
      <c r="D87" s="61" t="s">
        <v>111</v>
      </c>
      <c r="E87" s="61">
        <f ca="1">IFERROR(__xludf.DUMMYFUNCTION("VLOOKUP(SPLIT(D87,"".""),SPLIT(D87,"".""),1)"),44391)</f>
        <v>44391</v>
      </c>
      <c r="F87" s="61" t="s">
        <v>110</v>
      </c>
      <c r="G87" s="63" t="s">
        <v>19</v>
      </c>
      <c r="H87" s="26" t="s">
        <v>61</v>
      </c>
      <c r="I87" s="27">
        <v>58.44</v>
      </c>
      <c r="J87" s="64">
        <v>116.89</v>
      </c>
      <c r="K87" s="1"/>
    </row>
    <row r="88" spans="1:11" ht="15">
      <c r="A88" s="2"/>
      <c r="B88" s="82" t="s">
        <v>13</v>
      </c>
      <c r="C88" s="83">
        <v>4823114074462</v>
      </c>
      <c r="D88" s="34" t="s">
        <v>112</v>
      </c>
      <c r="E88" s="83">
        <v>130575</v>
      </c>
      <c r="F88" s="84" t="s">
        <v>113</v>
      </c>
      <c r="G88" s="35" t="s">
        <v>16</v>
      </c>
      <c r="H88" s="35" t="s">
        <v>61</v>
      </c>
      <c r="I88" s="27">
        <v>67.5</v>
      </c>
      <c r="J88" s="28">
        <v>135</v>
      </c>
      <c r="K88" s="1"/>
    </row>
    <row r="89" spans="1:11" ht="15">
      <c r="A89" s="2"/>
      <c r="B89" s="82" t="s">
        <v>13</v>
      </c>
      <c r="C89" s="83">
        <v>4823114074448</v>
      </c>
      <c r="D89" s="34" t="s">
        <v>114</v>
      </c>
      <c r="E89" s="83">
        <v>130573</v>
      </c>
      <c r="F89" s="84" t="s">
        <v>113</v>
      </c>
      <c r="G89" s="35" t="s">
        <v>19</v>
      </c>
      <c r="H89" s="35" t="s">
        <v>61</v>
      </c>
      <c r="I89" s="27">
        <v>67.5</v>
      </c>
      <c r="J89" s="28">
        <v>135</v>
      </c>
      <c r="K89" s="1"/>
    </row>
    <row r="90" spans="1:11" ht="15">
      <c r="A90" s="2"/>
      <c r="B90" s="60" t="s">
        <v>13</v>
      </c>
      <c r="C90" s="85">
        <v>4823114070761</v>
      </c>
      <c r="D90" s="86" t="s">
        <v>115</v>
      </c>
      <c r="E90" s="61">
        <f ca="1">IFERROR(__xludf.DUMMYFUNCTION("VLOOKUP(SPLIT(D90,"".""),SPLIT(D90,"".""),1)"),117716)</f>
        <v>117716</v>
      </c>
      <c r="F90" s="61" t="s">
        <v>116</v>
      </c>
      <c r="G90" s="35" t="s">
        <v>16</v>
      </c>
      <c r="H90" s="26" t="s">
        <v>61</v>
      </c>
      <c r="I90" s="77">
        <v>96.61</v>
      </c>
      <c r="J90" s="77">
        <v>193.22</v>
      </c>
      <c r="K90" s="2"/>
    </row>
    <row r="91" spans="1:11" ht="15">
      <c r="A91" s="2"/>
      <c r="B91" s="60" t="s">
        <v>13</v>
      </c>
      <c r="C91" s="85">
        <v>4823114070778</v>
      </c>
      <c r="D91" s="86" t="s">
        <v>117</v>
      </c>
      <c r="E91" s="61">
        <f ca="1">IFERROR(__xludf.DUMMYFUNCTION("VLOOKUP(SPLIT(D91,"".""),SPLIT(D91,"".""),1)"),117717)</f>
        <v>117717</v>
      </c>
      <c r="F91" s="61" t="s">
        <v>116</v>
      </c>
      <c r="G91" s="63" t="s">
        <v>19</v>
      </c>
      <c r="H91" s="26" t="s">
        <v>61</v>
      </c>
      <c r="I91" s="77">
        <v>96.61</v>
      </c>
      <c r="J91" s="77">
        <v>193.22</v>
      </c>
      <c r="K91" s="2"/>
    </row>
    <row r="92" spans="1:11" ht="15">
      <c r="A92" s="2"/>
      <c r="B92" s="37" t="s">
        <v>13</v>
      </c>
      <c r="C92" s="38">
        <v>4823114076688</v>
      </c>
      <c r="D92" s="38" t="s">
        <v>118</v>
      </c>
      <c r="E92" s="38">
        <v>135980</v>
      </c>
      <c r="F92" s="39" t="s">
        <v>119</v>
      </c>
      <c r="G92" s="40" t="s">
        <v>16</v>
      </c>
      <c r="H92" s="35" t="s">
        <v>38</v>
      </c>
      <c r="I92" s="41">
        <v>69.469499999999996</v>
      </c>
      <c r="J92" s="41">
        <v>138.93899999999999</v>
      </c>
      <c r="K92" s="2"/>
    </row>
    <row r="93" spans="1:11" ht="15">
      <c r="A93" s="2"/>
      <c r="B93" s="37" t="s">
        <v>13</v>
      </c>
      <c r="C93" s="38">
        <v>4823114076671</v>
      </c>
      <c r="D93" s="38" t="s">
        <v>120</v>
      </c>
      <c r="E93" s="38">
        <v>135979</v>
      </c>
      <c r="F93" s="39" t="s">
        <v>119</v>
      </c>
      <c r="G93" s="40" t="s">
        <v>19</v>
      </c>
      <c r="H93" s="35" t="s">
        <v>38</v>
      </c>
      <c r="I93" s="41">
        <v>69.469499999999996</v>
      </c>
      <c r="J93" s="41">
        <v>138.93899999999999</v>
      </c>
      <c r="K93" s="2"/>
    </row>
    <row r="94" spans="1:11" ht="15">
      <c r="A94" s="2"/>
      <c r="B94" s="37" t="s">
        <v>13</v>
      </c>
      <c r="C94" s="38">
        <v>4823114080913</v>
      </c>
      <c r="D94" s="38" t="s">
        <v>121</v>
      </c>
      <c r="E94" s="38">
        <v>149424</v>
      </c>
      <c r="F94" s="39" t="s">
        <v>122</v>
      </c>
      <c r="G94" s="40" t="s">
        <v>16</v>
      </c>
      <c r="H94" s="35" t="s">
        <v>38</v>
      </c>
      <c r="I94" s="41">
        <v>140.9545</v>
      </c>
      <c r="J94" s="41">
        <v>281.90899999999999</v>
      </c>
      <c r="K94" s="2"/>
    </row>
    <row r="95" spans="1:11" ht="15">
      <c r="A95" s="2"/>
      <c r="B95" s="37" t="s">
        <v>13</v>
      </c>
      <c r="C95" s="38">
        <v>4823114080685</v>
      </c>
      <c r="D95" s="38" t="s">
        <v>123</v>
      </c>
      <c r="E95" s="38">
        <v>142681</v>
      </c>
      <c r="F95" s="39" t="s">
        <v>122</v>
      </c>
      <c r="G95" s="40" t="s">
        <v>19</v>
      </c>
      <c r="H95" s="35" t="s">
        <v>38</v>
      </c>
      <c r="I95" s="41">
        <v>140.9545</v>
      </c>
      <c r="J95" s="41">
        <v>281.90899999999999</v>
      </c>
      <c r="K95" s="2"/>
    </row>
    <row r="96" spans="1:11" ht="15">
      <c r="A96" s="2"/>
      <c r="B96" s="74"/>
      <c r="C96" s="75"/>
      <c r="D96" s="75"/>
      <c r="E96" s="75"/>
      <c r="F96" s="75"/>
      <c r="G96" s="76"/>
      <c r="H96" s="76"/>
      <c r="I96" s="76"/>
      <c r="J96" s="76"/>
      <c r="K96" s="2"/>
    </row>
    <row r="97" spans="1:11" ht="15">
      <c r="A97" s="2"/>
      <c r="B97" s="51" t="s">
        <v>124</v>
      </c>
      <c r="C97" s="9"/>
      <c r="D97" s="9"/>
      <c r="E97" s="9"/>
      <c r="F97" s="9"/>
      <c r="G97" s="10"/>
      <c r="H97" s="10"/>
      <c r="I97" s="10"/>
      <c r="J97" s="10"/>
      <c r="K97" s="1"/>
    </row>
    <row r="98" spans="1:11" ht="15">
      <c r="A98" s="2"/>
      <c r="B98" s="2"/>
      <c r="C98" s="9"/>
      <c r="D98" s="9"/>
      <c r="E98" s="9"/>
      <c r="F98" s="9"/>
      <c r="G98" s="10"/>
      <c r="H98" s="10"/>
      <c r="I98" s="10"/>
      <c r="J98" s="10"/>
      <c r="K98" s="1"/>
    </row>
    <row r="99" spans="1:11" ht="45">
      <c r="A99" s="2"/>
      <c r="B99" s="16" t="s">
        <v>4</v>
      </c>
      <c r="C99" s="55" t="s">
        <v>5</v>
      </c>
      <c r="D99" s="56" t="s">
        <v>6</v>
      </c>
      <c r="E99" s="56" t="s">
        <v>7</v>
      </c>
      <c r="F99" s="56" t="s">
        <v>8</v>
      </c>
      <c r="G99" s="16" t="s">
        <v>9</v>
      </c>
      <c r="H99" s="19" t="s">
        <v>10</v>
      </c>
      <c r="I99" s="58" t="s">
        <v>11</v>
      </c>
      <c r="J99" s="59" t="s">
        <v>12</v>
      </c>
      <c r="K99" s="1"/>
    </row>
    <row r="100" spans="1:11" ht="15">
      <c r="A100" s="43"/>
      <c r="B100" s="23" t="s">
        <v>13</v>
      </c>
      <c r="C100" s="32">
        <v>4823114068003</v>
      </c>
      <c r="D100" s="33" t="s">
        <v>125</v>
      </c>
      <c r="E100" s="32">
        <v>117736</v>
      </c>
      <c r="F100" s="87" t="s">
        <v>126</v>
      </c>
      <c r="G100" s="88" t="s">
        <v>16</v>
      </c>
      <c r="H100" s="26" t="s">
        <v>61</v>
      </c>
      <c r="I100" s="89">
        <v>220.8</v>
      </c>
      <c r="J100" s="89">
        <v>441.6</v>
      </c>
      <c r="K100" s="78"/>
    </row>
    <row r="101" spans="1:11" ht="15">
      <c r="A101" s="43"/>
      <c r="B101" s="23" t="s">
        <v>13</v>
      </c>
      <c r="C101" s="32">
        <v>4823114068010</v>
      </c>
      <c r="D101" s="33" t="s">
        <v>127</v>
      </c>
      <c r="E101" s="32">
        <v>117737</v>
      </c>
      <c r="F101" s="87" t="s">
        <v>126</v>
      </c>
      <c r="G101" s="88" t="s">
        <v>19</v>
      </c>
      <c r="H101" s="26" t="s">
        <v>61</v>
      </c>
      <c r="I101" s="89">
        <v>220.8</v>
      </c>
      <c r="J101" s="89">
        <v>441.6</v>
      </c>
      <c r="K101" s="78"/>
    </row>
    <row r="102" spans="1:11" ht="15">
      <c r="A102" s="2"/>
      <c r="B102" s="74"/>
      <c r="C102" s="75"/>
      <c r="D102" s="75"/>
      <c r="E102" s="75"/>
      <c r="F102" s="75"/>
      <c r="G102" s="76"/>
      <c r="H102" s="76"/>
      <c r="I102" s="76"/>
      <c r="J102" s="76"/>
      <c r="K102" s="1"/>
    </row>
    <row r="103" spans="1:11" ht="15">
      <c r="A103" s="2"/>
      <c r="B103" s="51" t="s">
        <v>128</v>
      </c>
      <c r="C103" s="9"/>
      <c r="D103" s="9"/>
      <c r="E103" s="9"/>
      <c r="F103" s="9"/>
      <c r="G103" s="10"/>
      <c r="H103" s="10"/>
      <c r="I103" s="10"/>
      <c r="J103" s="10"/>
      <c r="K103" s="2"/>
    </row>
    <row r="104" spans="1:11" ht="15">
      <c r="A104" s="2"/>
      <c r="B104" s="2"/>
      <c r="C104" s="9"/>
      <c r="D104" s="9"/>
      <c r="E104" s="9"/>
      <c r="F104" s="9"/>
      <c r="G104" s="10"/>
      <c r="H104" s="10"/>
      <c r="I104" s="10"/>
      <c r="J104" s="10"/>
      <c r="K104" s="2"/>
    </row>
    <row r="105" spans="1:11" ht="31.5" customHeight="1">
      <c r="A105" s="2"/>
      <c r="B105" s="16" t="s">
        <v>4</v>
      </c>
      <c r="C105" s="55" t="s">
        <v>5</v>
      </c>
      <c r="D105" s="56" t="s">
        <v>6</v>
      </c>
      <c r="E105" s="56" t="s">
        <v>7</v>
      </c>
      <c r="F105" s="56" t="s">
        <v>8</v>
      </c>
      <c r="G105" s="16" t="s">
        <v>9</v>
      </c>
      <c r="H105" s="19" t="s">
        <v>10</v>
      </c>
      <c r="I105" s="58" t="s">
        <v>11</v>
      </c>
      <c r="J105" s="59" t="s">
        <v>12</v>
      </c>
      <c r="K105" s="1"/>
    </row>
    <row r="106" spans="1:11" ht="15">
      <c r="A106" s="43"/>
      <c r="B106" s="60" t="s">
        <v>13</v>
      </c>
      <c r="C106" s="61">
        <v>4823114075407</v>
      </c>
      <c r="D106" s="61" t="s">
        <v>129</v>
      </c>
      <c r="E106" s="61">
        <f ca="1">IFERROR(__xludf.DUMMYFUNCTION("VLOOKUP(SPLIT(D106,"".""),SPLIT(D106,"".""),1)"),133211)</f>
        <v>133211</v>
      </c>
      <c r="F106" s="62" t="s">
        <v>130</v>
      </c>
      <c r="G106" s="63" t="s">
        <v>16</v>
      </c>
      <c r="H106" s="26" t="s">
        <v>38</v>
      </c>
      <c r="I106" s="27">
        <v>94.96</v>
      </c>
      <c r="J106" s="28">
        <v>189.92</v>
      </c>
      <c r="K106" s="1"/>
    </row>
    <row r="107" spans="1:11" ht="15">
      <c r="A107" s="43"/>
      <c r="B107" s="60" t="s">
        <v>13</v>
      </c>
      <c r="C107" s="61">
        <v>4823114075384</v>
      </c>
      <c r="D107" s="61" t="s">
        <v>131</v>
      </c>
      <c r="E107" s="61">
        <f ca="1">IFERROR(__xludf.DUMMYFUNCTION("VLOOKUP(SPLIT(D107,"".""),SPLIT(D107,"".""),1)"),133210)</f>
        <v>133210</v>
      </c>
      <c r="F107" s="62" t="s">
        <v>130</v>
      </c>
      <c r="G107" s="63" t="s">
        <v>19</v>
      </c>
      <c r="H107" s="26" t="s">
        <v>38</v>
      </c>
      <c r="I107" s="27">
        <v>94.96</v>
      </c>
      <c r="J107" s="28">
        <v>189.92</v>
      </c>
      <c r="K107" s="1"/>
    </row>
    <row r="108" spans="1:11" ht="15">
      <c r="A108" s="43"/>
      <c r="B108" s="60" t="s">
        <v>13</v>
      </c>
      <c r="C108" s="61">
        <v>4823114075162</v>
      </c>
      <c r="D108" s="61" t="s">
        <v>132</v>
      </c>
      <c r="E108" s="61">
        <f ca="1">IFERROR(__xludf.DUMMYFUNCTION("VLOOKUP(SPLIT(D108,"".""),SPLIT(D108,"".""),1)"),133187)</f>
        <v>133187</v>
      </c>
      <c r="F108" s="61" t="s">
        <v>133</v>
      </c>
      <c r="G108" s="63" t="s">
        <v>16</v>
      </c>
      <c r="H108" s="26" t="s">
        <v>38</v>
      </c>
      <c r="I108" s="27">
        <v>22.86</v>
      </c>
      <c r="J108" s="28">
        <v>45.72</v>
      </c>
      <c r="K108" s="1"/>
    </row>
    <row r="109" spans="1:11" ht="15">
      <c r="A109" s="43"/>
      <c r="B109" s="90" t="s">
        <v>13</v>
      </c>
      <c r="C109" s="69">
        <v>4823114075148</v>
      </c>
      <c r="D109" s="69" t="s">
        <v>134</v>
      </c>
      <c r="E109" s="61">
        <f ca="1">IFERROR(__xludf.DUMMYFUNCTION("VLOOKUP(SPLIT(D109,"".""),SPLIT(D109,"".""),1)"),133186)</f>
        <v>133186</v>
      </c>
      <c r="F109" s="69" t="s">
        <v>135</v>
      </c>
      <c r="G109" s="70" t="s">
        <v>19</v>
      </c>
      <c r="H109" s="26" t="s">
        <v>38</v>
      </c>
      <c r="I109" s="66">
        <v>22.86</v>
      </c>
      <c r="J109" s="91">
        <v>45.72</v>
      </c>
      <c r="K109" s="2"/>
    </row>
    <row r="110" spans="1:11" ht="15">
      <c r="A110" s="43"/>
      <c r="B110" s="23" t="s">
        <v>13</v>
      </c>
      <c r="C110" s="87">
        <v>4823114066214</v>
      </c>
      <c r="D110" s="87" t="s">
        <v>136</v>
      </c>
      <c r="E110" s="61">
        <f ca="1">IFERROR(__xludf.DUMMYFUNCTION("VLOOKUP(SPLIT(D110,"".""),SPLIT(D110,"".""),1)"),110754)</f>
        <v>110754</v>
      </c>
      <c r="F110" s="87" t="s">
        <v>137</v>
      </c>
      <c r="G110" s="88" t="s">
        <v>16</v>
      </c>
      <c r="H110" s="26" t="s">
        <v>38</v>
      </c>
      <c r="I110" s="71">
        <v>24.3</v>
      </c>
      <c r="J110" s="71">
        <v>48.6</v>
      </c>
      <c r="K110" s="2"/>
    </row>
    <row r="111" spans="1:11" ht="15">
      <c r="A111" s="43"/>
      <c r="B111" s="23" t="s">
        <v>13</v>
      </c>
      <c r="C111" s="87">
        <v>4823114066221</v>
      </c>
      <c r="D111" s="87" t="s">
        <v>138</v>
      </c>
      <c r="E111" s="61">
        <f ca="1">IFERROR(__xludf.DUMMYFUNCTION("VLOOKUP(SPLIT(D111,"".""),SPLIT(D111,"".""),1)"),110753)</f>
        <v>110753</v>
      </c>
      <c r="F111" s="87" t="s">
        <v>137</v>
      </c>
      <c r="G111" s="88" t="s">
        <v>19</v>
      </c>
      <c r="H111" s="26" t="s">
        <v>38</v>
      </c>
      <c r="I111" s="71">
        <v>24.3</v>
      </c>
      <c r="J111" s="71">
        <v>48.6</v>
      </c>
      <c r="K111" s="1"/>
    </row>
    <row r="112" spans="1:11" ht="15">
      <c r="A112" s="43"/>
      <c r="B112" s="60" t="s">
        <v>13</v>
      </c>
      <c r="C112" s="61">
        <v>4823114079078</v>
      </c>
      <c r="D112" s="61" t="s">
        <v>139</v>
      </c>
      <c r="E112" s="61">
        <v>143600</v>
      </c>
      <c r="F112" s="61" t="s">
        <v>140</v>
      </c>
      <c r="G112" s="63" t="s">
        <v>16</v>
      </c>
      <c r="H112" s="26" t="s">
        <v>61</v>
      </c>
      <c r="I112" s="27">
        <v>66.13</v>
      </c>
      <c r="J112" s="64">
        <v>132.27000000000001</v>
      </c>
      <c r="K112" s="1"/>
    </row>
    <row r="113" spans="1:11" ht="15">
      <c r="A113" s="43"/>
      <c r="B113" s="65" t="s">
        <v>13</v>
      </c>
      <c r="C113" s="61">
        <v>4823114079085</v>
      </c>
      <c r="D113" s="61" t="s">
        <v>141</v>
      </c>
      <c r="E113" s="61">
        <v>143601</v>
      </c>
      <c r="F113" s="61" t="s">
        <v>140</v>
      </c>
      <c r="G113" s="63" t="s">
        <v>19</v>
      </c>
      <c r="H113" s="26" t="s">
        <v>61</v>
      </c>
      <c r="I113" s="27">
        <v>66.13</v>
      </c>
      <c r="J113" s="64">
        <v>132.27000000000001</v>
      </c>
      <c r="K113" s="1"/>
    </row>
    <row r="114" spans="1:11" ht="15">
      <c r="A114" s="43"/>
      <c r="B114" s="65" t="s">
        <v>13</v>
      </c>
      <c r="C114" s="24">
        <v>4823114079139</v>
      </c>
      <c r="D114" s="24" t="s">
        <v>142</v>
      </c>
      <c r="E114" s="24">
        <v>143607</v>
      </c>
      <c r="F114" s="24" t="s">
        <v>143</v>
      </c>
      <c r="G114" s="63" t="s">
        <v>16</v>
      </c>
      <c r="H114" s="26" t="s">
        <v>61</v>
      </c>
      <c r="I114" s="27">
        <v>206.95</v>
      </c>
      <c r="J114" s="28">
        <v>413.91</v>
      </c>
      <c r="K114" s="1"/>
    </row>
    <row r="115" spans="1:11" ht="15">
      <c r="A115" s="43"/>
      <c r="B115" s="68" t="s">
        <v>13</v>
      </c>
      <c r="C115" s="92">
        <v>4823114079146</v>
      </c>
      <c r="D115" s="92" t="s">
        <v>144</v>
      </c>
      <c r="E115" s="92">
        <v>143608</v>
      </c>
      <c r="F115" s="92" t="s">
        <v>143</v>
      </c>
      <c r="G115" s="70" t="s">
        <v>19</v>
      </c>
      <c r="H115" s="26" t="s">
        <v>61</v>
      </c>
      <c r="I115" s="27">
        <v>206.95</v>
      </c>
      <c r="J115" s="28">
        <v>413.91</v>
      </c>
      <c r="K115" s="1"/>
    </row>
    <row r="116" spans="1:11" ht="15">
      <c r="A116" s="43"/>
      <c r="B116" s="23" t="s">
        <v>13</v>
      </c>
      <c r="C116" s="83">
        <v>4823114068560</v>
      </c>
      <c r="D116" s="93" t="s">
        <v>145</v>
      </c>
      <c r="E116" s="61">
        <f ca="1">IFERROR(__xludf.DUMMYFUNCTION("VLOOKUP(SPLIT(D116,"".""),SPLIT(D116,"".""),1)"),117760)</f>
        <v>117760</v>
      </c>
      <c r="F116" s="87" t="s">
        <v>146</v>
      </c>
      <c r="G116" s="88" t="s">
        <v>16</v>
      </c>
      <c r="H116" s="26" t="s">
        <v>61</v>
      </c>
      <c r="I116" s="71">
        <v>89.37</v>
      </c>
      <c r="J116" s="71">
        <v>178.75</v>
      </c>
      <c r="K116" s="78"/>
    </row>
    <row r="117" spans="1:11" ht="15">
      <c r="A117" s="43"/>
      <c r="B117" s="23" t="s">
        <v>13</v>
      </c>
      <c r="C117" s="83">
        <v>4823114068577</v>
      </c>
      <c r="D117" s="93" t="s">
        <v>147</v>
      </c>
      <c r="E117" s="61">
        <f ca="1">IFERROR(__xludf.DUMMYFUNCTION("VLOOKUP(SPLIT(D117,"".""),SPLIT(D117,"".""),1)"),117761)</f>
        <v>117761</v>
      </c>
      <c r="F117" s="87" t="s">
        <v>146</v>
      </c>
      <c r="G117" s="88" t="s">
        <v>148</v>
      </c>
      <c r="H117" s="26" t="s">
        <v>61</v>
      </c>
      <c r="I117" s="71">
        <v>89.37</v>
      </c>
      <c r="J117" s="71">
        <v>178.75</v>
      </c>
      <c r="K117" s="79"/>
    </row>
    <row r="118" spans="1:11" ht="15">
      <c r="A118" s="43"/>
      <c r="B118" s="23" t="s">
        <v>13</v>
      </c>
      <c r="C118" s="83">
        <v>4823114068553</v>
      </c>
      <c r="D118" s="33" t="s">
        <v>149</v>
      </c>
      <c r="E118" s="61">
        <f ca="1">IFERROR(__xludf.DUMMYFUNCTION("VLOOKUP(SPLIT(D118,"".""),SPLIT(D118,"".""),1)"),117759)</f>
        <v>117759</v>
      </c>
      <c r="F118" s="87" t="s">
        <v>146</v>
      </c>
      <c r="G118" s="88" t="s">
        <v>19</v>
      </c>
      <c r="H118" s="26" t="s">
        <v>61</v>
      </c>
      <c r="I118" s="71">
        <v>89.37</v>
      </c>
      <c r="J118" s="71">
        <v>178.75</v>
      </c>
      <c r="K118" s="79"/>
    </row>
    <row r="119" spans="1:11" ht="15">
      <c r="A119" s="43"/>
      <c r="B119" s="37" t="s">
        <v>13</v>
      </c>
      <c r="C119" s="38">
        <v>4823114077210</v>
      </c>
      <c r="D119" s="38" t="s">
        <v>150</v>
      </c>
      <c r="E119" s="38">
        <v>139675</v>
      </c>
      <c r="F119" s="39" t="s">
        <v>151</v>
      </c>
      <c r="G119" s="40" t="s">
        <v>16</v>
      </c>
      <c r="H119" s="35" t="s">
        <v>38</v>
      </c>
      <c r="I119" s="41">
        <v>104.45800000000001</v>
      </c>
      <c r="J119" s="41">
        <v>208.91600000000003</v>
      </c>
      <c r="K119" s="79"/>
    </row>
    <row r="120" spans="1:11" ht="15">
      <c r="A120" s="43"/>
      <c r="B120" s="37" t="s">
        <v>13</v>
      </c>
      <c r="C120" s="38">
        <v>4823114077227</v>
      </c>
      <c r="D120" s="38" t="s">
        <v>152</v>
      </c>
      <c r="E120" s="38">
        <v>139676</v>
      </c>
      <c r="F120" s="39" t="s">
        <v>151</v>
      </c>
      <c r="G120" s="40" t="s">
        <v>19</v>
      </c>
      <c r="H120" s="35" t="s">
        <v>38</v>
      </c>
      <c r="I120" s="41">
        <v>104.45800000000001</v>
      </c>
      <c r="J120" s="41">
        <v>208.91600000000003</v>
      </c>
      <c r="K120" s="79"/>
    </row>
    <row r="121" spans="1:11" ht="15">
      <c r="A121" s="43"/>
      <c r="B121" s="37" t="s">
        <v>13</v>
      </c>
      <c r="C121" s="38">
        <v>4823114081002</v>
      </c>
      <c r="D121" s="38" t="s">
        <v>153</v>
      </c>
      <c r="E121" s="38">
        <v>149673</v>
      </c>
      <c r="F121" s="39" t="s">
        <v>154</v>
      </c>
      <c r="G121" s="40" t="s">
        <v>16</v>
      </c>
      <c r="H121" s="35" t="s">
        <v>38</v>
      </c>
      <c r="I121" s="41">
        <v>227.65</v>
      </c>
      <c r="J121" s="41">
        <v>455.3</v>
      </c>
      <c r="K121" s="79"/>
    </row>
    <row r="122" spans="1:11" ht="15">
      <c r="A122" s="43"/>
      <c r="B122" s="37" t="s">
        <v>13</v>
      </c>
      <c r="C122" s="38">
        <v>4823114080999</v>
      </c>
      <c r="D122" s="38" t="s">
        <v>155</v>
      </c>
      <c r="E122" s="38">
        <v>149672</v>
      </c>
      <c r="F122" s="39" t="s">
        <v>154</v>
      </c>
      <c r="G122" s="40" t="s">
        <v>19</v>
      </c>
      <c r="H122" s="35" t="s">
        <v>38</v>
      </c>
      <c r="I122" s="41">
        <v>227.65</v>
      </c>
      <c r="J122" s="41">
        <v>455.3</v>
      </c>
      <c r="K122" s="79"/>
    </row>
    <row r="123" spans="1:11" ht="15">
      <c r="A123" s="2"/>
      <c r="B123" s="74"/>
      <c r="C123" s="75"/>
      <c r="D123" s="75"/>
      <c r="E123" s="75"/>
      <c r="F123" s="75"/>
      <c r="G123" s="76"/>
      <c r="H123" s="76"/>
      <c r="I123" s="76"/>
      <c r="J123" s="76"/>
      <c r="K123" s="1"/>
    </row>
    <row r="124" spans="1:11" ht="15">
      <c r="A124" s="2"/>
      <c r="B124" s="51" t="s">
        <v>156</v>
      </c>
      <c r="C124" s="9"/>
      <c r="D124" s="9"/>
      <c r="E124" s="9"/>
      <c r="F124" s="9"/>
      <c r="G124" s="10"/>
      <c r="H124" s="10"/>
      <c r="I124" s="10"/>
      <c r="J124" s="10"/>
      <c r="K124" s="1"/>
    </row>
    <row r="125" spans="1:11" ht="15">
      <c r="A125" s="2"/>
      <c r="B125" s="2"/>
      <c r="C125" s="9"/>
      <c r="D125" s="9"/>
      <c r="E125" s="9"/>
      <c r="F125" s="9"/>
      <c r="G125" s="10"/>
      <c r="H125" s="10"/>
      <c r="I125" s="10"/>
      <c r="J125" s="10"/>
      <c r="K125" s="1"/>
    </row>
    <row r="126" spans="1:11" ht="30.75" customHeight="1">
      <c r="A126" s="2"/>
      <c r="B126" s="16" t="s">
        <v>4</v>
      </c>
      <c r="C126" s="55" t="s">
        <v>5</v>
      </c>
      <c r="D126" s="56" t="s">
        <v>6</v>
      </c>
      <c r="E126" s="56" t="s">
        <v>7</v>
      </c>
      <c r="F126" s="56" t="s">
        <v>8</v>
      </c>
      <c r="G126" s="16" t="s">
        <v>9</v>
      </c>
      <c r="H126" s="19" t="s">
        <v>10</v>
      </c>
      <c r="I126" s="58" t="s">
        <v>11</v>
      </c>
      <c r="J126" s="59" t="s">
        <v>12</v>
      </c>
      <c r="K126" s="1"/>
    </row>
    <row r="127" spans="1:11" ht="15">
      <c r="A127" s="43"/>
      <c r="B127" s="60" t="s">
        <v>13</v>
      </c>
      <c r="C127" s="61">
        <v>4823114075360</v>
      </c>
      <c r="D127" s="61" t="s">
        <v>157</v>
      </c>
      <c r="E127" s="61">
        <f ca="1">IFERROR(__xludf.DUMMYFUNCTION("VLOOKUP(SPLIT(D127,"".""),SPLIT(D127,"".""),1)"),133207)</f>
        <v>133207</v>
      </c>
      <c r="F127" s="62" t="s">
        <v>158</v>
      </c>
      <c r="G127" s="63" t="s">
        <v>16</v>
      </c>
      <c r="H127" s="26" t="s">
        <v>38</v>
      </c>
      <c r="I127" s="27">
        <v>47.48</v>
      </c>
      <c r="J127" s="28">
        <v>94.96</v>
      </c>
      <c r="K127" s="2"/>
    </row>
    <row r="128" spans="1:11" ht="15">
      <c r="A128" s="43"/>
      <c r="B128" s="60" t="s">
        <v>13</v>
      </c>
      <c r="C128" s="61">
        <v>4823114075346</v>
      </c>
      <c r="D128" s="61" t="s">
        <v>159</v>
      </c>
      <c r="E128" s="61">
        <f ca="1">IFERROR(__xludf.DUMMYFUNCTION("VLOOKUP(SPLIT(D128,"".""),SPLIT(D128,"".""),1)"),133206)</f>
        <v>133206</v>
      </c>
      <c r="F128" s="62" t="s">
        <v>158</v>
      </c>
      <c r="G128" s="63" t="s">
        <v>19</v>
      </c>
      <c r="H128" s="26" t="s">
        <v>38</v>
      </c>
      <c r="I128" s="27">
        <v>47.48</v>
      </c>
      <c r="J128" s="28">
        <v>94.96</v>
      </c>
      <c r="K128" s="2"/>
    </row>
    <row r="129" spans="1:11" ht="15">
      <c r="A129" s="43"/>
      <c r="B129" s="60" t="s">
        <v>13</v>
      </c>
      <c r="C129" s="61">
        <v>4823114075575</v>
      </c>
      <c r="D129" s="61" t="s">
        <v>160</v>
      </c>
      <c r="E129" s="61">
        <f ca="1">IFERROR(__xludf.DUMMYFUNCTION("VLOOKUP(SPLIT(D129,"".""),SPLIT(D129,"".""),1)"),133227)</f>
        <v>133227</v>
      </c>
      <c r="F129" s="62" t="s">
        <v>161</v>
      </c>
      <c r="G129" s="63" t="s">
        <v>16</v>
      </c>
      <c r="H129" s="26" t="s">
        <v>38</v>
      </c>
      <c r="I129" s="27">
        <v>94.78</v>
      </c>
      <c r="J129" s="28">
        <v>189.56</v>
      </c>
      <c r="K129" s="1"/>
    </row>
    <row r="130" spans="1:11" ht="15">
      <c r="A130" s="43"/>
      <c r="B130" s="60" t="s">
        <v>13</v>
      </c>
      <c r="C130" s="61">
        <v>4823114075551</v>
      </c>
      <c r="D130" s="61" t="s">
        <v>162</v>
      </c>
      <c r="E130" s="61">
        <f ca="1">IFERROR(__xludf.DUMMYFUNCTION("VLOOKUP(SPLIT(D130,"".""),SPLIT(D130,"".""),1)"),133226)</f>
        <v>133226</v>
      </c>
      <c r="F130" s="62" t="s">
        <v>161</v>
      </c>
      <c r="G130" s="63" t="s">
        <v>19</v>
      </c>
      <c r="H130" s="26" t="s">
        <v>38</v>
      </c>
      <c r="I130" s="27">
        <v>94.78</v>
      </c>
      <c r="J130" s="28">
        <v>189.56</v>
      </c>
      <c r="K130" s="1"/>
    </row>
    <row r="131" spans="1:11" ht="15">
      <c r="A131" s="2"/>
      <c r="B131" s="60" t="s">
        <v>13</v>
      </c>
      <c r="C131" s="61">
        <v>4823114067907</v>
      </c>
      <c r="D131" s="61" t="s">
        <v>163</v>
      </c>
      <c r="E131" s="61">
        <f ca="1">IFERROR(__xludf.DUMMYFUNCTION("VLOOKUP(SPLIT(D131,"".""),SPLIT(D131,"".""),1)"),117720)</f>
        <v>117720</v>
      </c>
      <c r="F131" s="61" t="s">
        <v>164</v>
      </c>
      <c r="G131" s="63" t="s">
        <v>16</v>
      </c>
      <c r="H131" s="26" t="s">
        <v>38</v>
      </c>
      <c r="I131" s="27">
        <v>138.16</v>
      </c>
      <c r="J131" s="27">
        <v>276.32</v>
      </c>
      <c r="K131" s="78"/>
    </row>
    <row r="132" spans="1:11" ht="15">
      <c r="A132" s="2"/>
      <c r="B132" s="60" t="s">
        <v>13</v>
      </c>
      <c r="C132" s="61">
        <v>4823114067914</v>
      </c>
      <c r="D132" s="61" t="s">
        <v>165</v>
      </c>
      <c r="E132" s="61">
        <f ca="1">IFERROR(__xludf.DUMMYFUNCTION("VLOOKUP(SPLIT(D132,"".""),SPLIT(D132,"".""),1)"),117721)</f>
        <v>117721</v>
      </c>
      <c r="F132" s="61" t="s">
        <v>164</v>
      </c>
      <c r="G132" s="63" t="s">
        <v>19</v>
      </c>
      <c r="H132" s="26" t="s">
        <v>38</v>
      </c>
      <c r="I132" s="27">
        <v>138.16</v>
      </c>
      <c r="J132" s="27">
        <v>276.32</v>
      </c>
      <c r="K132" s="78"/>
    </row>
    <row r="133" spans="1:11" ht="15">
      <c r="A133" s="2"/>
      <c r="B133" s="60" t="s">
        <v>13</v>
      </c>
      <c r="C133" s="61">
        <v>4823114078644</v>
      </c>
      <c r="D133" s="61" t="s">
        <v>166</v>
      </c>
      <c r="E133" s="61">
        <f ca="1">IFERROR(__xludf.DUMMYFUNCTION("VLOOKUP(SPLIT(D133,"".""),SPLIT(D133,"".""),1)"),143559)</f>
        <v>143559</v>
      </c>
      <c r="F133" s="61" t="s">
        <v>167</v>
      </c>
      <c r="G133" s="63" t="s">
        <v>16</v>
      </c>
      <c r="H133" s="26" t="s">
        <v>61</v>
      </c>
      <c r="I133" s="27">
        <v>41.53</v>
      </c>
      <c r="J133" s="64">
        <v>83.05</v>
      </c>
      <c r="K133" s="1"/>
    </row>
    <row r="134" spans="1:11" ht="15">
      <c r="A134" s="2"/>
      <c r="B134" s="65" t="s">
        <v>13</v>
      </c>
      <c r="C134" s="61">
        <v>4823114078651</v>
      </c>
      <c r="D134" s="61" t="s">
        <v>168</v>
      </c>
      <c r="E134" s="61">
        <f ca="1">IFERROR(__xludf.DUMMYFUNCTION("VLOOKUP(SPLIT(D134,"".""),SPLIT(D134,"".""),1)"),143560)</f>
        <v>143560</v>
      </c>
      <c r="F134" s="61" t="s">
        <v>167</v>
      </c>
      <c r="G134" s="63" t="s">
        <v>19</v>
      </c>
      <c r="H134" s="26" t="s">
        <v>61</v>
      </c>
      <c r="I134" s="27">
        <v>41.53</v>
      </c>
      <c r="J134" s="64">
        <v>83.05</v>
      </c>
      <c r="K134" s="1"/>
    </row>
    <row r="135" spans="1:11" ht="15">
      <c r="A135" s="2"/>
      <c r="B135" s="65" t="s">
        <v>13</v>
      </c>
      <c r="C135" s="61">
        <v>4823114006593</v>
      </c>
      <c r="D135" s="61" t="s">
        <v>169</v>
      </c>
      <c r="E135" s="61">
        <f ca="1">IFERROR(__xludf.DUMMYFUNCTION("VLOOKUP(SPLIT(D135,"".""),SPLIT(D135,"".""),1)"),44411)</f>
        <v>44411</v>
      </c>
      <c r="F135" s="61" t="s">
        <v>170</v>
      </c>
      <c r="G135" s="63" t="s">
        <v>16</v>
      </c>
      <c r="H135" s="26" t="s">
        <v>61</v>
      </c>
      <c r="I135" s="27">
        <v>83.05</v>
      </c>
      <c r="J135" s="64">
        <v>166.1</v>
      </c>
      <c r="K135" s="2"/>
    </row>
    <row r="136" spans="1:11" ht="15">
      <c r="A136" s="2"/>
      <c r="B136" s="65" t="s">
        <v>13</v>
      </c>
      <c r="C136" s="61">
        <v>4823114006609</v>
      </c>
      <c r="D136" s="61" t="s">
        <v>171</v>
      </c>
      <c r="E136" s="61">
        <f ca="1">IFERROR(__xludf.DUMMYFUNCTION("VLOOKUP(SPLIT(D136,"".""),SPLIT(D136,"".""),1)"),44412)</f>
        <v>44412</v>
      </c>
      <c r="F136" s="61" t="s">
        <v>170</v>
      </c>
      <c r="G136" s="63" t="s">
        <v>19</v>
      </c>
      <c r="H136" s="26" t="s">
        <v>61</v>
      </c>
      <c r="I136" s="27">
        <v>83.05</v>
      </c>
      <c r="J136" s="64">
        <v>166.1</v>
      </c>
      <c r="K136" s="2"/>
    </row>
    <row r="137" spans="1:11" ht="15">
      <c r="A137" s="2"/>
      <c r="B137" s="65" t="s">
        <v>13</v>
      </c>
      <c r="C137" s="24">
        <v>4823114079528</v>
      </c>
      <c r="D137" s="24" t="s">
        <v>172</v>
      </c>
      <c r="E137" s="24">
        <f ca="1">IFERROR(__xludf.DUMMYFUNCTION("VLOOKUP(SPLIT(D137,"".""),SPLIT(D137,"".""),1)"),143637)</f>
        <v>143637</v>
      </c>
      <c r="F137" s="24" t="s">
        <v>173</v>
      </c>
      <c r="G137" s="63" t="s">
        <v>16</v>
      </c>
      <c r="H137" s="26" t="s">
        <v>61</v>
      </c>
      <c r="I137" s="27">
        <v>83.05</v>
      </c>
      <c r="J137" s="28">
        <v>166.1</v>
      </c>
      <c r="K137" s="1"/>
    </row>
    <row r="138" spans="1:11" ht="15">
      <c r="A138" s="2"/>
      <c r="B138" s="65" t="s">
        <v>13</v>
      </c>
      <c r="C138" s="24">
        <v>4823114079535</v>
      </c>
      <c r="D138" s="24" t="s">
        <v>174</v>
      </c>
      <c r="E138" s="24">
        <f ca="1">IFERROR(__xludf.DUMMYFUNCTION("VLOOKUP(SPLIT(D138,"".""),SPLIT(D138,"".""),1)"),143638)</f>
        <v>143638</v>
      </c>
      <c r="F138" s="24" t="s">
        <v>173</v>
      </c>
      <c r="G138" s="63" t="s">
        <v>19</v>
      </c>
      <c r="H138" s="26" t="s">
        <v>61</v>
      </c>
      <c r="I138" s="27">
        <v>83.05</v>
      </c>
      <c r="J138" s="28">
        <v>166.1</v>
      </c>
      <c r="K138" s="1"/>
    </row>
    <row r="139" spans="1:11" ht="15">
      <c r="A139" s="2"/>
      <c r="B139" s="65" t="s">
        <v>13</v>
      </c>
      <c r="C139" s="61">
        <v>4823114067969</v>
      </c>
      <c r="D139" s="33" t="s">
        <v>175</v>
      </c>
      <c r="E139" s="61">
        <f ca="1">IFERROR(__xludf.DUMMYFUNCTION("VLOOKUP(SPLIT(D139,"".""),SPLIT(D139,"".""),1)"),117726)</f>
        <v>117726</v>
      </c>
      <c r="F139" s="61" t="s">
        <v>176</v>
      </c>
      <c r="G139" s="63" t="s">
        <v>16</v>
      </c>
      <c r="H139" s="26" t="s">
        <v>61</v>
      </c>
      <c r="I139" s="27">
        <v>140.99</v>
      </c>
      <c r="J139" s="27">
        <v>281.98</v>
      </c>
      <c r="K139" s="78"/>
    </row>
    <row r="140" spans="1:11" ht="15">
      <c r="A140" s="2"/>
      <c r="B140" s="65" t="s">
        <v>13</v>
      </c>
      <c r="C140" s="61">
        <v>4823114067976</v>
      </c>
      <c r="D140" s="33" t="s">
        <v>177</v>
      </c>
      <c r="E140" s="61">
        <f ca="1">IFERROR(__xludf.DUMMYFUNCTION("VLOOKUP(SPLIT(D140,"".""),SPLIT(D140,"".""),1)"),117727)</f>
        <v>117727</v>
      </c>
      <c r="F140" s="61" t="s">
        <v>176</v>
      </c>
      <c r="G140" s="63" t="s">
        <v>19</v>
      </c>
      <c r="H140" s="26" t="s">
        <v>61</v>
      </c>
      <c r="I140" s="27">
        <v>140.99</v>
      </c>
      <c r="J140" s="27">
        <v>281.98</v>
      </c>
      <c r="K140" s="78"/>
    </row>
    <row r="141" spans="1:11" ht="15">
      <c r="A141" s="2"/>
      <c r="B141" s="37" t="s">
        <v>13</v>
      </c>
      <c r="C141" s="38">
        <v>4823114077388</v>
      </c>
      <c r="D141" s="38" t="s">
        <v>178</v>
      </c>
      <c r="E141" s="38">
        <v>140412</v>
      </c>
      <c r="F141" s="39" t="s">
        <v>179</v>
      </c>
      <c r="G141" s="40" t="s">
        <v>16</v>
      </c>
      <c r="H141" s="35" t="s">
        <v>38</v>
      </c>
      <c r="I141" s="41">
        <v>52.214499999999994</v>
      </c>
      <c r="J141" s="41">
        <v>104.42899999999999</v>
      </c>
      <c r="K141" s="78"/>
    </row>
    <row r="142" spans="1:11" ht="15">
      <c r="A142" s="2"/>
      <c r="B142" s="37" t="s">
        <v>13</v>
      </c>
      <c r="C142" s="38">
        <v>4823114077395</v>
      </c>
      <c r="D142" s="38" t="s">
        <v>180</v>
      </c>
      <c r="E142" s="38">
        <v>140411</v>
      </c>
      <c r="F142" s="39" t="s">
        <v>179</v>
      </c>
      <c r="G142" s="40" t="s">
        <v>19</v>
      </c>
      <c r="H142" s="35" t="s">
        <v>38</v>
      </c>
      <c r="I142" s="41">
        <v>52.214499999999994</v>
      </c>
      <c r="J142" s="41">
        <v>104.42899999999999</v>
      </c>
      <c r="K142" s="78"/>
    </row>
    <row r="143" spans="1:11" ht="15">
      <c r="A143" s="2"/>
      <c r="B143" s="37" t="s">
        <v>13</v>
      </c>
      <c r="C143" s="38">
        <v>4823114076831</v>
      </c>
      <c r="D143" s="38" t="s">
        <v>181</v>
      </c>
      <c r="E143" s="38">
        <v>137750</v>
      </c>
      <c r="F143" s="39" t="s">
        <v>182</v>
      </c>
      <c r="G143" s="40" t="s">
        <v>16</v>
      </c>
      <c r="H143" s="35" t="s">
        <v>38</v>
      </c>
      <c r="I143" s="41">
        <v>151.97450000000001</v>
      </c>
      <c r="J143" s="41">
        <v>303.94900000000001</v>
      </c>
      <c r="K143" s="78"/>
    </row>
    <row r="144" spans="1:11" ht="15">
      <c r="A144" s="2"/>
      <c r="B144" s="37" t="s">
        <v>13</v>
      </c>
      <c r="C144" s="38">
        <v>4823114076824</v>
      </c>
      <c r="D144" s="38" t="s">
        <v>183</v>
      </c>
      <c r="E144" s="38">
        <v>137749</v>
      </c>
      <c r="F144" s="39" t="s">
        <v>182</v>
      </c>
      <c r="G144" s="40" t="s">
        <v>19</v>
      </c>
      <c r="H144" s="35" t="s">
        <v>38</v>
      </c>
      <c r="I144" s="41">
        <v>151.97450000000001</v>
      </c>
      <c r="J144" s="41">
        <v>303.94900000000001</v>
      </c>
      <c r="K144" s="78"/>
    </row>
    <row r="145" spans="1:11" ht="15">
      <c r="A145" s="2"/>
      <c r="B145" s="2"/>
      <c r="C145" s="2"/>
      <c r="D145" s="2"/>
      <c r="E145" s="2"/>
      <c r="F145" s="2"/>
      <c r="G145" s="2"/>
      <c r="H145" s="2"/>
      <c r="I145" s="2"/>
      <c r="J145" s="2"/>
      <c r="K145" s="2"/>
    </row>
    <row r="146" spans="1:11" ht="15">
      <c r="A146" s="2"/>
      <c r="B146" s="14" t="s">
        <v>184</v>
      </c>
      <c r="C146" s="50"/>
      <c r="D146" s="50"/>
      <c r="E146" s="13"/>
      <c r="F146" s="13"/>
      <c r="G146" s="13"/>
      <c r="H146" s="13"/>
      <c r="I146" s="15"/>
      <c r="J146" s="94"/>
      <c r="K146" s="79"/>
    </row>
    <row r="147" spans="1:11" ht="30">
      <c r="A147" s="2"/>
      <c r="B147" s="44" t="s">
        <v>13</v>
      </c>
      <c r="C147" s="17" t="s">
        <v>5</v>
      </c>
      <c r="D147" s="18" t="s">
        <v>6</v>
      </c>
      <c r="E147" s="18" t="s">
        <v>7</v>
      </c>
      <c r="F147" s="18" t="s">
        <v>8</v>
      </c>
      <c r="G147" s="44" t="s">
        <v>9</v>
      </c>
      <c r="H147" s="19" t="s">
        <v>10</v>
      </c>
      <c r="I147" s="20" t="s">
        <v>11</v>
      </c>
      <c r="J147" s="21" t="s">
        <v>41</v>
      </c>
      <c r="K147" s="79"/>
    </row>
    <row r="148" spans="1:11" ht="15">
      <c r="A148" s="2"/>
      <c r="B148" s="95" t="s">
        <v>13</v>
      </c>
      <c r="C148" s="38">
        <v>4823114076992</v>
      </c>
      <c r="D148" s="38" t="s">
        <v>185</v>
      </c>
      <c r="E148" s="38">
        <v>138643</v>
      </c>
      <c r="F148" s="73" t="s">
        <v>186</v>
      </c>
      <c r="G148" s="40" t="s">
        <v>16</v>
      </c>
      <c r="H148" s="26" t="s">
        <v>38</v>
      </c>
      <c r="I148" s="47">
        <v>22.852</v>
      </c>
      <c r="J148" s="47">
        <v>45.704000000000001</v>
      </c>
      <c r="K148" s="79"/>
    </row>
    <row r="149" spans="1:11" ht="15">
      <c r="A149" s="2"/>
      <c r="B149" s="95" t="s">
        <v>13</v>
      </c>
      <c r="C149" s="38">
        <v>4823114076985</v>
      </c>
      <c r="D149" s="38" t="s">
        <v>187</v>
      </c>
      <c r="E149" s="38">
        <v>138642</v>
      </c>
      <c r="F149" s="73" t="s">
        <v>186</v>
      </c>
      <c r="G149" s="40" t="s">
        <v>19</v>
      </c>
      <c r="H149" s="26" t="s">
        <v>38</v>
      </c>
      <c r="I149" s="47">
        <v>22.852</v>
      </c>
      <c r="J149" s="47">
        <v>45.704000000000001</v>
      </c>
      <c r="K149" s="79"/>
    </row>
    <row r="150" spans="1:11" ht="15">
      <c r="A150" s="2"/>
      <c r="B150" s="2"/>
      <c r="C150" s="9"/>
      <c r="D150" s="9"/>
      <c r="E150" s="9"/>
      <c r="F150" s="9"/>
      <c r="G150" s="10"/>
      <c r="H150" s="10"/>
      <c r="I150" s="10"/>
      <c r="J150" s="10"/>
      <c r="K150" s="2"/>
    </row>
    <row r="151" spans="1:11" ht="17.25" customHeight="1">
      <c r="A151" s="43"/>
      <c r="B151" s="51" t="s">
        <v>188</v>
      </c>
      <c r="C151" s="96"/>
      <c r="D151" s="96"/>
      <c r="E151" s="9"/>
      <c r="F151" s="9"/>
      <c r="G151" s="10"/>
      <c r="H151" s="10"/>
      <c r="I151" s="10"/>
      <c r="J151" s="97"/>
      <c r="K151" s="2"/>
    </row>
    <row r="152" spans="1:11" ht="17.25" customHeight="1">
      <c r="A152" s="43"/>
      <c r="B152" s="2"/>
      <c r="C152" s="96"/>
      <c r="D152" s="96"/>
      <c r="E152" s="9"/>
      <c r="F152" s="9"/>
      <c r="G152" s="10"/>
      <c r="H152" s="10"/>
      <c r="I152" s="10"/>
      <c r="J152" s="97"/>
      <c r="K152" s="1"/>
    </row>
    <row r="153" spans="1:11" ht="34.5" customHeight="1">
      <c r="A153" s="13"/>
      <c r="B153" s="16" t="s">
        <v>4</v>
      </c>
      <c r="C153" s="55" t="s">
        <v>5</v>
      </c>
      <c r="D153" s="99" t="s">
        <v>6</v>
      </c>
      <c r="E153" s="100" t="s">
        <v>7</v>
      </c>
      <c r="F153" s="100" t="s">
        <v>8</v>
      </c>
      <c r="G153" s="101" t="s">
        <v>9</v>
      </c>
      <c r="H153" s="19" t="s">
        <v>10</v>
      </c>
      <c r="I153" s="58" t="s">
        <v>11</v>
      </c>
      <c r="J153" s="59" t="s">
        <v>12</v>
      </c>
      <c r="K153" s="1"/>
    </row>
    <row r="154" spans="1:11" ht="15">
      <c r="A154" s="43"/>
      <c r="B154" s="60" t="s">
        <v>13</v>
      </c>
      <c r="C154" s="24">
        <v>4823114079436</v>
      </c>
      <c r="D154" s="24" t="s">
        <v>189</v>
      </c>
      <c r="E154" s="24">
        <f ca="1">IFERROR(__xludf.DUMMYFUNCTION("VLOOKUP(SPLIT(D154,"".""),SPLIT(D154,"".""),1)"),143631)</f>
        <v>143631</v>
      </c>
      <c r="F154" s="24" t="s">
        <v>190</v>
      </c>
      <c r="G154" s="63" t="s">
        <v>16</v>
      </c>
      <c r="H154" s="26" t="s">
        <v>61</v>
      </c>
      <c r="I154" s="27">
        <v>115.01</v>
      </c>
      <c r="J154" s="28">
        <v>230.02</v>
      </c>
      <c r="K154" s="1"/>
    </row>
    <row r="155" spans="1:11" ht="15">
      <c r="A155" s="43"/>
      <c r="B155" s="65" t="s">
        <v>13</v>
      </c>
      <c r="C155" s="24">
        <v>4823114079443</v>
      </c>
      <c r="D155" s="24" t="s">
        <v>191</v>
      </c>
      <c r="E155" s="24">
        <f ca="1">IFERROR(__xludf.DUMMYFUNCTION("VLOOKUP(SPLIT(D155,"".""),SPLIT(D155,"".""),1)"),143632)</f>
        <v>143632</v>
      </c>
      <c r="F155" s="24" t="s">
        <v>190</v>
      </c>
      <c r="G155" s="63" t="s">
        <v>19</v>
      </c>
      <c r="H155" s="26" t="s">
        <v>61</v>
      </c>
      <c r="I155" s="27">
        <v>115.01</v>
      </c>
      <c r="J155" s="28">
        <v>230.02</v>
      </c>
      <c r="K155" s="1"/>
    </row>
    <row r="156" spans="1:11" ht="15">
      <c r="A156" s="43"/>
      <c r="B156" s="65" t="s">
        <v>13</v>
      </c>
      <c r="C156" s="61">
        <v>4823114070136</v>
      </c>
      <c r="D156" s="69" t="s">
        <v>192</v>
      </c>
      <c r="E156" s="61">
        <f ca="1">IFERROR(__xludf.DUMMYFUNCTION("VLOOKUP(SPLIT(D156,"".""),SPLIT(D156,"".""),1)"),123264)</f>
        <v>123264</v>
      </c>
      <c r="F156" s="61" t="s">
        <v>193</v>
      </c>
      <c r="G156" s="63" t="s">
        <v>25</v>
      </c>
      <c r="H156" s="26" t="s">
        <v>61</v>
      </c>
      <c r="I156" s="27">
        <v>88.35</v>
      </c>
      <c r="J156" s="28">
        <v>176.7</v>
      </c>
      <c r="K156" s="1"/>
    </row>
    <row r="157" spans="1:11" ht="15">
      <c r="A157" s="43"/>
      <c r="B157" s="65" t="s">
        <v>13</v>
      </c>
      <c r="C157" s="24">
        <v>4823114079580</v>
      </c>
      <c r="D157" s="92" t="s">
        <v>194</v>
      </c>
      <c r="E157" s="24">
        <f ca="1">IFERROR(__xludf.DUMMYFUNCTION("VLOOKUP(SPLIT(D157,"".""),SPLIT(D157,"".""),1)"),143643)</f>
        <v>143643</v>
      </c>
      <c r="F157" s="24" t="s">
        <v>195</v>
      </c>
      <c r="G157" s="63" t="s">
        <v>25</v>
      </c>
      <c r="H157" s="26" t="s">
        <v>61</v>
      </c>
      <c r="I157" s="27">
        <v>16.37</v>
      </c>
      <c r="J157" s="28">
        <v>32.74</v>
      </c>
      <c r="K157" s="1"/>
    </row>
    <row r="158" spans="1:11" ht="15">
      <c r="A158" s="43"/>
      <c r="B158" s="65" t="s">
        <v>13</v>
      </c>
      <c r="C158" s="102">
        <v>4823114068041</v>
      </c>
      <c r="D158" s="86" t="s">
        <v>196</v>
      </c>
      <c r="E158" s="85">
        <v>117739</v>
      </c>
      <c r="F158" s="61" t="s">
        <v>197</v>
      </c>
      <c r="G158" s="63" t="s">
        <v>25</v>
      </c>
      <c r="H158" s="26" t="s">
        <v>61</v>
      </c>
      <c r="I158" s="27">
        <v>49.94</v>
      </c>
      <c r="J158" s="27">
        <v>99.88</v>
      </c>
      <c r="K158" s="78"/>
    </row>
    <row r="159" spans="1:11" ht="15">
      <c r="A159" s="43"/>
      <c r="B159" s="37" t="s">
        <v>13</v>
      </c>
      <c r="C159" s="38">
        <v>4823114076534</v>
      </c>
      <c r="D159" s="38" t="s">
        <v>198</v>
      </c>
      <c r="E159" s="38">
        <v>135261</v>
      </c>
      <c r="F159" s="39" t="s">
        <v>199</v>
      </c>
      <c r="G159" s="40" t="s">
        <v>16</v>
      </c>
      <c r="H159" s="35" t="s">
        <v>38</v>
      </c>
      <c r="I159" s="41">
        <v>130.5</v>
      </c>
      <c r="J159" s="41">
        <v>261</v>
      </c>
      <c r="K159" s="78"/>
    </row>
    <row r="160" spans="1:11" ht="15">
      <c r="A160" s="43"/>
      <c r="B160" s="37" t="s">
        <v>13</v>
      </c>
      <c r="C160" s="38">
        <v>4823114076541</v>
      </c>
      <c r="D160" s="38" t="s">
        <v>200</v>
      </c>
      <c r="E160" s="38">
        <v>135262</v>
      </c>
      <c r="F160" s="39" t="s">
        <v>199</v>
      </c>
      <c r="G160" s="40" t="s">
        <v>19</v>
      </c>
      <c r="H160" s="35" t="s">
        <v>38</v>
      </c>
      <c r="I160" s="41">
        <v>130.5</v>
      </c>
      <c r="J160" s="41">
        <v>261</v>
      </c>
      <c r="K160" s="78"/>
    </row>
    <row r="161" spans="1:11" ht="15">
      <c r="A161" s="43"/>
      <c r="B161" s="37" t="s">
        <v>13</v>
      </c>
      <c r="C161" s="38">
        <v>4823114078170</v>
      </c>
      <c r="D161" s="38" t="s">
        <v>201</v>
      </c>
      <c r="E161" s="38">
        <v>142171</v>
      </c>
      <c r="F161" s="39" t="s">
        <v>202</v>
      </c>
      <c r="G161" s="40" t="s">
        <v>25</v>
      </c>
      <c r="H161" s="35" t="s">
        <v>38</v>
      </c>
      <c r="I161" s="41">
        <v>107.3</v>
      </c>
      <c r="J161" s="41">
        <v>214.6</v>
      </c>
      <c r="K161" s="78"/>
    </row>
    <row r="162" spans="1:11" ht="15">
      <c r="A162" s="2"/>
      <c r="B162" s="2"/>
      <c r="C162" s="9"/>
      <c r="D162" s="75"/>
      <c r="E162" s="9"/>
      <c r="F162" s="9"/>
      <c r="G162" s="10"/>
      <c r="H162" s="10"/>
      <c r="I162" s="10"/>
      <c r="J162" s="10"/>
      <c r="K162" s="2"/>
    </row>
    <row r="163" spans="1:11" ht="15">
      <c r="A163" s="2"/>
      <c r="B163" s="51" t="s">
        <v>203</v>
      </c>
      <c r="C163" s="9"/>
      <c r="D163" s="9"/>
      <c r="E163" s="9"/>
      <c r="F163" s="9"/>
      <c r="G163" s="10"/>
      <c r="H163" s="10"/>
      <c r="I163" s="10"/>
      <c r="J163" s="10"/>
      <c r="K163" s="2"/>
    </row>
    <row r="164" spans="1:11" ht="15">
      <c r="A164" s="2"/>
      <c r="B164" s="52"/>
      <c r="C164" s="53"/>
      <c r="D164" s="53"/>
      <c r="E164" s="53"/>
      <c r="F164" s="53"/>
      <c r="G164" s="54"/>
      <c r="H164" s="54"/>
      <c r="I164" s="54"/>
      <c r="J164" s="54"/>
      <c r="K164" s="1"/>
    </row>
    <row r="165" spans="1:11" ht="32.25" customHeight="1">
      <c r="A165" s="2"/>
      <c r="B165" s="16" t="s">
        <v>4</v>
      </c>
      <c r="C165" s="55" t="s">
        <v>5</v>
      </c>
      <c r="D165" s="55" t="s">
        <v>6</v>
      </c>
      <c r="E165" s="56" t="s">
        <v>7</v>
      </c>
      <c r="F165" s="56" t="s">
        <v>8</v>
      </c>
      <c r="G165" s="16" t="s">
        <v>9</v>
      </c>
      <c r="H165" s="19" t="s">
        <v>10</v>
      </c>
      <c r="I165" s="58" t="s">
        <v>11</v>
      </c>
      <c r="J165" s="59" t="s">
        <v>12</v>
      </c>
      <c r="K165" s="1"/>
    </row>
    <row r="166" spans="1:11" ht="15">
      <c r="A166" s="43"/>
      <c r="B166" s="60" t="s">
        <v>13</v>
      </c>
      <c r="C166" s="61">
        <v>4823114040757</v>
      </c>
      <c r="D166" s="61" t="s">
        <v>204</v>
      </c>
      <c r="E166" s="61">
        <f ca="1">IFERROR(__xludf.DUMMYFUNCTION("VLOOKUP(SPLIT(D166,"".""),SPLIT(D166,"".""),1)"),61384)</f>
        <v>61384</v>
      </c>
      <c r="F166" s="61" t="s">
        <v>205</v>
      </c>
      <c r="G166" s="63" t="s">
        <v>25</v>
      </c>
      <c r="H166" s="26" t="s">
        <v>61</v>
      </c>
      <c r="I166" s="71">
        <v>28.86</v>
      </c>
      <c r="J166" s="71">
        <v>57.73</v>
      </c>
      <c r="K166" s="1"/>
    </row>
    <row r="167" spans="1:11" ht="15">
      <c r="A167" s="43"/>
      <c r="B167" s="60" t="s">
        <v>13</v>
      </c>
      <c r="C167" s="61">
        <v>4823114079153</v>
      </c>
      <c r="D167" s="61" t="s">
        <v>206</v>
      </c>
      <c r="E167" s="61">
        <f ca="1">IFERROR(__xludf.DUMMYFUNCTION("VLOOKUP(SPLIT(D167,"".""),SPLIT(D167,"".""),1)"),143609)</f>
        <v>143609</v>
      </c>
      <c r="F167" s="61" t="s">
        <v>207</v>
      </c>
      <c r="G167" s="63" t="s">
        <v>25</v>
      </c>
      <c r="H167" s="26" t="s">
        <v>61</v>
      </c>
      <c r="I167" s="71">
        <v>31.92</v>
      </c>
      <c r="J167" s="71">
        <v>63.85</v>
      </c>
      <c r="K167" s="1"/>
    </row>
    <row r="168" spans="1:11" ht="15">
      <c r="A168" s="43"/>
      <c r="B168" s="60" t="s">
        <v>13</v>
      </c>
      <c r="C168" s="61">
        <v>4823114047237</v>
      </c>
      <c r="D168" s="33" t="s">
        <v>208</v>
      </c>
      <c r="E168" s="61">
        <f ca="1">IFERROR(__xludf.DUMMYFUNCTION("VLOOKUP(SPLIT(D168,"".""),SPLIT(D168,"".""),1)"),82132)</f>
        <v>82132</v>
      </c>
      <c r="F168" s="61" t="s">
        <v>209</v>
      </c>
      <c r="G168" s="63" t="s">
        <v>16</v>
      </c>
      <c r="H168" s="26" t="s">
        <v>61</v>
      </c>
      <c r="I168" s="71">
        <v>110.05</v>
      </c>
      <c r="J168" s="71">
        <v>220.1</v>
      </c>
      <c r="K168" s="2"/>
    </row>
    <row r="169" spans="1:11" ht="15">
      <c r="A169" s="43"/>
      <c r="B169" s="60" t="s">
        <v>13</v>
      </c>
      <c r="C169" s="61">
        <v>4823114047220</v>
      </c>
      <c r="D169" s="103" t="s">
        <v>210</v>
      </c>
      <c r="E169" s="61">
        <f ca="1">IFERROR(__xludf.DUMMYFUNCTION("VLOOKUP(SPLIT(D169,"".""),SPLIT(D169,"".""),1)"),82131)</f>
        <v>82131</v>
      </c>
      <c r="F169" s="61" t="s">
        <v>209</v>
      </c>
      <c r="G169" s="63" t="s">
        <v>19</v>
      </c>
      <c r="H169" s="26" t="s">
        <v>61</v>
      </c>
      <c r="I169" s="71">
        <v>110.05</v>
      </c>
      <c r="J169" s="71">
        <v>220.1</v>
      </c>
      <c r="K169" s="2"/>
    </row>
    <row r="170" spans="1:11" ht="15">
      <c r="A170" s="43"/>
      <c r="B170" s="60" t="s">
        <v>13</v>
      </c>
      <c r="C170" s="61">
        <v>4823114068072</v>
      </c>
      <c r="D170" s="61" t="s">
        <v>211</v>
      </c>
      <c r="E170" s="61">
        <v>117732</v>
      </c>
      <c r="F170" s="61" t="s">
        <v>212</v>
      </c>
      <c r="G170" s="63" t="s">
        <v>16</v>
      </c>
      <c r="H170" s="26" t="s">
        <v>61</v>
      </c>
      <c r="I170" s="27">
        <v>126.56</v>
      </c>
      <c r="J170" s="27">
        <v>253.12</v>
      </c>
      <c r="K170" s="78"/>
    </row>
    <row r="171" spans="1:11" ht="15">
      <c r="A171" s="43"/>
      <c r="B171" s="60" t="s">
        <v>13</v>
      </c>
      <c r="C171" s="61">
        <v>4823114068065</v>
      </c>
      <c r="D171" s="61" t="s">
        <v>213</v>
      </c>
      <c r="E171" s="61">
        <v>117733</v>
      </c>
      <c r="F171" s="61" t="s">
        <v>212</v>
      </c>
      <c r="G171" s="63" t="s">
        <v>19</v>
      </c>
      <c r="H171" s="26" t="s">
        <v>61</v>
      </c>
      <c r="I171" s="27">
        <v>126.56</v>
      </c>
      <c r="J171" s="27">
        <v>253.12</v>
      </c>
      <c r="K171" s="78"/>
    </row>
    <row r="172" spans="1:11" ht="15">
      <c r="A172" s="104"/>
      <c r="B172" s="104"/>
      <c r="C172" s="105"/>
      <c r="D172" s="105"/>
      <c r="E172" s="105"/>
      <c r="F172" s="105"/>
      <c r="G172" s="106"/>
      <c r="H172" s="106"/>
      <c r="I172" s="106"/>
      <c r="J172" s="106"/>
      <c r="K172" s="1"/>
    </row>
    <row r="173" spans="1:11" ht="15">
      <c r="A173" s="104"/>
      <c r="B173" s="51" t="s">
        <v>214</v>
      </c>
      <c r="C173" s="9"/>
      <c r="D173" s="9"/>
      <c r="E173" s="9"/>
      <c r="F173" s="9"/>
      <c r="G173" s="10"/>
      <c r="H173" s="10"/>
      <c r="I173" s="10"/>
      <c r="J173" s="10"/>
      <c r="K173" s="1"/>
    </row>
    <row r="174" spans="1:11" ht="15">
      <c r="A174" s="104"/>
      <c r="B174" s="52"/>
      <c r="C174" s="53"/>
      <c r="D174" s="53"/>
      <c r="E174" s="53"/>
      <c r="F174" s="53"/>
      <c r="G174" s="54"/>
      <c r="H174" s="54"/>
      <c r="I174" s="54"/>
      <c r="J174" s="54"/>
      <c r="K174" s="1"/>
    </row>
    <row r="175" spans="1:11" ht="30" customHeight="1">
      <c r="A175" s="104"/>
      <c r="B175" s="16" t="s">
        <v>4</v>
      </c>
      <c r="C175" s="55" t="s">
        <v>5</v>
      </c>
      <c r="D175" s="55" t="s">
        <v>6</v>
      </c>
      <c r="E175" s="56" t="s">
        <v>7</v>
      </c>
      <c r="F175" s="56" t="s">
        <v>8</v>
      </c>
      <c r="G175" s="16" t="s">
        <v>9</v>
      </c>
      <c r="H175" s="19" t="s">
        <v>10</v>
      </c>
      <c r="I175" s="58" t="s">
        <v>11</v>
      </c>
      <c r="J175" s="59" t="s">
        <v>12</v>
      </c>
      <c r="K175" s="1"/>
    </row>
    <row r="176" spans="1:11" ht="15">
      <c r="A176" s="104"/>
      <c r="B176" s="107" t="s">
        <v>13</v>
      </c>
      <c r="C176" s="61">
        <v>4823114072000</v>
      </c>
      <c r="D176" s="86" t="s">
        <v>215</v>
      </c>
      <c r="E176" s="61">
        <f ca="1">IFERROR(__xludf.DUMMYFUNCTION("VLOOKUP(SPLIT(D176,"".""),SPLIT(D176,"".""),1)"),127496)</f>
        <v>127496</v>
      </c>
      <c r="F176" s="61" t="s">
        <v>216</v>
      </c>
      <c r="G176" s="63" t="s">
        <v>25</v>
      </c>
      <c r="H176" s="26" t="s">
        <v>61</v>
      </c>
      <c r="I176" s="71">
        <v>44.53</v>
      </c>
      <c r="J176" s="71">
        <v>89.06</v>
      </c>
      <c r="K176" s="2"/>
    </row>
    <row r="177" spans="1:11" ht="15">
      <c r="A177" s="104"/>
      <c r="B177" s="104"/>
      <c r="C177" s="105"/>
      <c r="D177" s="105"/>
      <c r="E177" s="105"/>
      <c r="F177" s="105"/>
      <c r="G177" s="106"/>
      <c r="H177" s="106"/>
      <c r="I177" s="106"/>
      <c r="J177" s="106"/>
      <c r="K177" s="2"/>
    </row>
    <row r="178" spans="1:11" ht="15">
      <c r="A178" s="104"/>
      <c r="B178" s="51" t="s">
        <v>217</v>
      </c>
      <c r="C178" s="9"/>
      <c r="D178" s="9"/>
      <c r="E178" s="9"/>
      <c r="F178" s="9"/>
      <c r="G178" s="10"/>
      <c r="H178" s="10"/>
      <c r="I178" s="10"/>
      <c r="J178" s="10"/>
      <c r="K178" s="1"/>
    </row>
    <row r="179" spans="1:11" ht="15">
      <c r="A179" s="104"/>
      <c r="B179" s="52"/>
      <c r="C179" s="53"/>
      <c r="D179" s="53"/>
      <c r="E179" s="53"/>
      <c r="F179" s="53"/>
      <c r="G179" s="54"/>
      <c r="H179" s="54"/>
      <c r="I179" s="54"/>
      <c r="J179" s="54"/>
      <c r="K179" s="1"/>
    </row>
    <row r="180" spans="1:11" ht="45">
      <c r="A180" s="104"/>
      <c r="B180" s="16" t="s">
        <v>4</v>
      </c>
      <c r="C180" s="55" t="s">
        <v>5</v>
      </c>
      <c r="D180" s="55" t="s">
        <v>6</v>
      </c>
      <c r="E180" s="56" t="s">
        <v>7</v>
      </c>
      <c r="F180" s="56" t="s">
        <v>8</v>
      </c>
      <c r="G180" s="16" t="s">
        <v>9</v>
      </c>
      <c r="H180" s="16"/>
      <c r="I180" s="58" t="s">
        <v>11</v>
      </c>
      <c r="J180" s="59" t="s">
        <v>12</v>
      </c>
      <c r="K180" s="1"/>
    </row>
    <row r="181" spans="1:11" ht="15">
      <c r="A181" s="104"/>
      <c r="B181" s="60" t="s">
        <v>13</v>
      </c>
      <c r="C181" s="61">
        <v>4823114043161</v>
      </c>
      <c r="D181" s="61" t="s">
        <v>218</v>
      </c>
      <c r="E181" s="61">
        <f ca="1">IFERROR(__xludf.DUMMYFUNCTION("VLOOKUP(SPLIT(D181,"".""),SPLIT(D181,"".""),1)"),63139)</f>
        <v>63139</v>
      </c>
      <c r="F181" s="61" t="s">
        <v>219</v>
      </c>
      <c r="G181" s="63" t="s">
        <v>16</v>
      </c>
      <c r="H181" s="63" t="s">
        <v>25</v>
      </c>
      <c r="I181" s="71">
        <v>18.32</v>
      </c>
      <c r="J181" s="71">
        <v>36.64</v>
      </c>
      <c r="K181" s="1"/>
    </row>
    <row r="182" spans="1:11" ht="15">
      <c r="A182" s="104"/>
      <c r="B182" s="60" t="s">
        <v>13</v>
      </c>
      <c r="C182" s="61">
        <v>4823114043178</v>
      </c>
      <c r="D182" s="61" t="s">
        <v>220</v>
      </c>
      <c r="E182" s="61">
        <f ca="1">IFERROR(__xludf.DUMMYFUNCTION("VLOOKUP(SPLIT(D182,"".""),SPLIT(D182,"".""),1)"),63138)</f>
        <v>63138</v>
      </c>
      <c r="F182" s="61" t="s">
        <v>219</v>
      </c>
      <c r="G182" s="63" t="s">
        <v>19</v>
      </c>
      <c r="H182" s="63" t="s">
        <v>25</v>
      </c>
      <c r="I182" s="71">
        <v>18.32</v>
      </c>
      <c r="J182" s="71">
        <v>36.64</v>
      </c>
      <c r="K182" s="2"/>
    </row>
    <row r="183" spans="1:11" ht="15">
      <c r="A183" s="104"/>
      <c r="B183" s="60" t="s">
        <v>13</v>
      </c>
      <c r="C183" s="61">
        <v>4823114043482</v>
      </c>
      <c r="D183" s="61" t="s">
        <v>221</v>
      </c>
      <c r="E183" s="61">
        <f ca="1">IFERROR(__xludf.DUMMYFUNCTION("VLOOKUP(SPLIT(D183,"".""),SPLIT(D183,"".""),1)"),62947)</f>
        <v>62947</v>
      </c>
      <c r="F183" s="61" t="s">
        <v>222</v>
      </c>
      <c r="G183" s="63" t="s">
        <v>16</v>
      </c>
      <c r="H183" s="63" t="s">
        <v>25</v>
      </c>
      <c r="I183" s="71">
        <v>21.31</v>
      </c>
      <c r="J183" s="71">
        <v>42.63</v>
      </c>
      <c r="K183" s="2"/>
    </row>
    <row r="184" spans="1:11" ht="15">
      <c r="A184" s="104"/>
      <c r="B184" s="60" t="s">
        <v>13</v>
      </c>
      <c r="C184" s="61">
        <v>4823114043499</v>
      </c>
      <c r="D184" s="61" t="s">
        <v>223</v>
      </c>
      <c r="E184" s="61">
        <f ca="1">IFERROR(__xludf.DUMMYFUNCTION("VLOOKUP(SPLIT(D184,"".""),SPLIT(D184,"".""),1)"),62946)</f>
        <v>62946</v>
      </c>
      <c r="F184" s="61" t="s">
        <v>222</v>
      </c>
      <c r="G184" s="63" t="s">
        <v>19</v>
      </c>
      <c r="H184" s="63" t="s">
        <v>25</v>
      </c>
      <c r="I184" s="71">
        <v>21.31</v>
      </c>
      <c r="J184" s="71">
        <v>42.63</v>
      </c>
      <c r="K184" s="1"/>
    </row>
    <row r="185" spans="1:11" ht="15">
      <c r="A185" s="104"/>
      <c r="B185" s="60" t="s">
        <v>13</v>
      </c>
      <c r="C185" s="61">
        <v>4823114047602</v>
      </c>
      <c r="D185" s="33" t="s">
        <v>224</v>
      </c>
      <c r="E185" s="61">
        <f ca="1">IFERROR(__xludf.DUMMYFUNCTION("VLOOKUP(SPLIT(D185,"".""),SPLIT(D185,"".""),1)"),67829)</f>
        <v>67829</v>
      </c>
      <c r="F185" s="61" t="s">
        <v>225</v>
      </c>
      <c r="G185" s="63" t="s">
        <v>16</v>
      </c>
      <c r="H185" s="63" t="s">
        <v>25</v>
      </c>
      <c r="I185" s="71">
        <v>30.99</v>
      </c>
      <c r="J185" s="71">
        <v>61.98</v>
      </c>
      <c r="K185" s="1"/>
    </row>
    <row r="186" spans="1:11" ht="15">
      <c r="A186" s="104"/>
      <c r="B186" s="60" t="s">
        <v>13</v>
      </c>
      <c r="C186" s="61">
        <v>4823114047596</v>
      </c>
      <c r="D186" s="103" t="s">
        <v>226</v>
      </c>
      <c r="E186" s="61">
        <f ca="1">IFERROR(__xludf.DUMMYFUNCTION("VLOOKUP(SPLIT(D186,"".""),SPLIT(D186,"".""),1)"),67828)</f>
        <v>67828</v>
      </c>
      <c r="F186" s="61" t="s">
        <v>225</v>
      </c>
      <c r="G186" s="63" t="s">
        <v>19</v>
      </c>
      <c r="H186" s="63" t="s">
        <v>25</v>
      </c>
      <c r="I186" s="71">
        <v>30.99</v>
      </c>
      <c r="J186" s="71">
        <v>61.98</v>
      </c>
      <c r="K186" s="1"/>
    </row>
    <row r="187" spans="1:11" ht="15">
      <c r="A187" s="104"/>
      <c r="B187" s="60" t="s">
        <v>13</v>
      </c>
      <c r="C187" s="61">
        <v>4823114048029</v>
      </c>
      <c r="D187" s="103" t="s">
        <v>227</v>
      </c>
      <c r="E187" s="61">
        <f ca="1">IFERROR(__xludf.DUMMYFUNCTION("VLOOKUP(SPLIT(D187,"".""),SPLIT(D187,"".""),1)"),65977)</f>
        <v>65977</v>
      </c>
      <c r="F187" s="61" t="s">
        <v>228</v>
      </c>
      <c r="G187" s="63" t="s">
        <v>16</v>
      </c>
      <c r="H187" s="63" t="s">
        <v>25</v>
      </c>
      <c r="I187" s="71">
        <v>105.99</v>
      </c>
      <c r="J187" s="71">
        <v>211.98</v>
      </c>
      <c r="K187" s="1"/>
    </row>
    <row r="188" spans="1:11" ht="15">
      <c r="A188" s="104"/>
      <c r="B188" s="60" t="s">
        <v>13</v>
      </c>
      <c r="C188" s="61">
        <v>4823114048012</v>
      </c>
      <c r="D188" s="103" t="s">
        <v>229</v>
      </c>
      <c r="E188" s="61">
        <f ca="1">IFERROR(__xludf.DUMMYFUNCTION("VLOOKUP(SPLIT(D188,"".""),SPLIT(D188,"".""),1)"),65976)</f>
        <v>65976</v>
      </c>
      <c r="F188" s="61" t="s">
        <v>228</v>
      </c>
      <c r="G188" s="63" t="s">
        <v>19</v>
      </c>
      <c r="H188" s="63" t="s">
        <v>25</v>
      </c>
      <c r="I188" s="71">
        <v>105.99</v>
      </c>
      <c r="J188" s="71">
        <v>211.98</v>
      </c>
      <c r="K188" s="1"/>
    </row>
    <row r="189" spans="1:11" ht="15">
      <c r="A189" s="104"/>
      <c r="B189" s="95" t="s">
        <v>13</v>
      </c>
      <c r="C189" s="108" t="s">
        <v>230</v>
      </c>
      <c r="D189" s="38" t="s">
        <v>231</v>
      </c>
      <c r="E189" s="38">
        <v>152252</v>
      </c>
      <c r="F189" s="109" t="s">
        <v>232</v>
      </c>
      <c r="G189" s="46" t="s">
        <v>16</v>
      </c>
      <c r="H189" s="46" t="s">
        <v>25</v>
      </c>
      <c r="I189" s="47">
        <v>125.61</v>
      </c>
      <c r="J189" s="47">
        <v>251.22</v>
      </c>
      <c r="K189" s="1"/>
    </row>
    <row r="190" spans="1:11" ht="15">
      <c r="A190" s="104"/>
      <c r="B190" s="95" t="s">
        <v>13</v>
      </c>
      <c r="C190" s="108" t="s">
        <v>233</v>
      </c>
      <c r="D190" s="38" t="s">
        <v>234</v>
      </c>
      <c r="E190" s="38">
        <v>152251</v>
      </c>
      <c r="F190" s="109" t="s">
        <v>232</v>
      </c>
      <c r="G190" s="46" t="s">
        <v>19</v>
      </c>
      <c r="H190" s="46" t="s">
        <v>25</v>
      </c>
      <c r="I190" s="47">
        <v>125.61</v>
      </c>
      <c r="J190" s="47">
        <v>251.22</v>
      </c>
      <c r="K190" s="1"/>
    </row>
    <row r="191" spans="1:11" ht="15">
      <c r="A191" s="104"/>
      <c r="B191" s="110"/>
      <c r="C191" s="111" t="s">
        <v>235</v>
      </c>
      <c r="D191" s="33" t="s">
        <v>236</v>
      </c>
      <c r="E191" s="83">
        <f ca="1">IFERROR(__xludf.DUMMYFUNCTION("VLOOKUP(SPLIT(D191,"".""),SPLIT(D191,"".""),1)"),77657)</f>
        <v>77657</v>
      </c>
      <c r="F191" s="34" t="s">
        <v>237</v>
      </c>
      <c r="G191" s="35" t="s">
        <v>16</v>
      </c>
      <c r="H191" s="63" t="s">
        <v>25</v>
      </c>
      <c r="I191" s="36">
        <v>6.96</v>
      </c>
      <c r="J191" s="36">
        <v>13.92</v>
      </c>
      <c r="K191" s="1"/>
    </row>
    <row r="192" spans="1:11" ht="15">
      <c r="A192" s="104"/>
      <c r="B192" s="110"/>
      <c r="C192" s="111" t="s">
        <v>238</v>
      </c>
      <c r="D192" s="33" t="s">
        <v>239</v>
      </c>
      <c r="E192" s="83">
        <f ca="1">IFERROR(__xludf.DUMMYFUNCTION("VLOOKUP(SPLIT(D192,"".""),SPLIT(D192,"".""),1)"),77658)</f>
        <v>77658</v>
      </c>
      <c r="F192" s="34" t="s">
        <v>237</v>
      </c>
      <c r="G192" s="35" t="s">
        <v>19</v>
      </c>
      <c r="H192" s="63" t="s">
        <v>25</v>
      </c>
      <c r="I192" s="36">
        <v>6.96</v>
      </c>
      <c r="J192" s="36">
        <v>13.92</v>
      </c>
      <c r="K192" s="2"/>
    </row>
    <row r="193" spans="1:11" ht="15">
      <c r="A193" s="104"/>
      <c r="B193" s="110"/>
      <c r="C193" s="111" t="s">
        <v>240</v>
      </c>
      <c r="D193" s="33" t="s">
        <v>241</v>
      </c>
      <c r="E193" s="83">
        <f ca="1">IFERROR(__xludf.DUMMYFUNCTION("VLOOKUP(SPLIT(D193,"".""),SPLIT(D193,"".""),1)"),78945)</f>
        <v>78945</v>
      </c>
      <c r="F193" s="34" t="s">
        <v>242</v>
      </c>
      <c r="G193" s="35" t="s">
        <v>16</v>
      </c>
      <c r="H193" s="63" t="s">
        <v>25</v>
      </c>
      <c r="I193" s="36">
        <v>3.63</v>
      </c>
      <c r="J193" s="36">
        <v>7.26</v>
      </c>
      <c r="K193" s="2"/>
    </row>
    <row r="194" spans="1:11" ht="15">
      <c r="A194" s="104"/>
      <c r="B194" s="110"/>
      <c r="C194" s="111" t="s">
        <v>243</v>
      </c>
      <c r="D194" s="33" t="s">
        <v>244</v>
      </c>
      <c r="E194" s="83">
        <f ca="1">IFERROR(__xludf.DUMMYFUNCTION("VLOOKUP(SPLIT(D194,"".""),SPLIT(D194,"".""),1)"),78944)</f>
        <v>78944</v>
      </c>
      <c r="F194" s="34" t="s">
        <v>242</v>
      </c>
      <c r="G194" s="35" t="s">
        <v>19</v>
      </c>
      <c r="H194" s="63" t="s">
        <v>25</v>
      </c>
      <c r="I194" s="36">
        <v>3.63</v>
      </c>
      <c r="J194" s="36">
        <v>7.26</v>
      </c>
      <c r="K194" s="1"/>
    </row>
    <row r="195" spans="1:11" ht="15">
      <c r="A195" s="104"/>
      <c r="B195" s="104"/>
      <c r="C195" s="105"/>
      <c r="D195" s="105"/>
      <c r="E195" s="105"/>
      <c r="F195" s="105"/>
      <c r="G195" s="106"/>
      <c r="H195" s="106"/>
      <c r="I195" s="106"/>
      <c r="J195" s="106"/>
      <c r="K195" s="1"/>
    </row>
    <row r="196" spans="1:11" ht="15">
      <c r="A196" s="104"/>
      <c r="B196" s="104"/>
      <c r="C196" s="105"/>
      <c r="D196" s="105"/>
      <c r="E196" s="105"/>
      <c r="F196" s="105"/>
      <c r="G196" s="106"/>
      <c r="H196" s="106"/>
      <c r="I196" s="106"/>
      <c r="J196" s="106"/>
      <c r="K196" s="1"/>
    </row>
    <row r="197" spans="1:11" ht="15">
      <c r="A197" s="104"/>
      <c r="B197" s="104"/>
      <c r="C197" s="105"/>
      <c r="D197" s="105"/>
      <c r="E197" s="105"/>
      <c r="F197" s="105"/>
      <c r="G197" s="106"/>
      <c r="H197" s="106"/>
      <c r="I197" s="106"/>
      <c r="J197" s="106"/>
      <c r="K197" s="1"/>
    </row>
    <row r="198" spans="1:11" ht="15">
      <c r="A198" s="104"/>
      <c r="B198" s="104"/>
      <c r="C198" s="105"/>
      <c r="D198" s="105"/>
      <c r="E198" s="105"/>
      <c r="F198" s="105"/>
      <c r="G198" s="106"/>
      <c r="H198" s="106"/>
      <c r="I198" s="106"/>
      <c r="J198" s="106"/>
      <c r="K198" s="1"/>
    </row>
    <row r="199" spans="1:11" ht="15">
      <c r="A199" s="104"/>
      <c r="B199" s="104"/>
      <c r="C199" s="105"/>
      <c r="D199" s="105"/>
      <c r="E199" s="105"/>
      <c r="F199" s="105"/>
      <c r="G199" s="106"/>
      <c r="H199" s="106"/>
      <c r="I199" s="106"/>
      <c r="J199" s="106"/>
      <c r="K199" s="1"/>
    </row>
    <row r="200" spans="1:11" ht="15">
      <c r="A200" s="104"/>
      <c r="B200" s="104"/>
      <c r="C200" s="105"/>
      <c r="D200" s="105"/>
      <c r="E200" s="105"/>
      <c r="F200" s="105"/>
      <c r="G200" s="106"/>
      <c r="H200" s="106"/>
      <c r="I200" s="106"/>
      <c r="J200" s="106"/>
      <c r="K200" s="1"/>
    </row>
    <row r="201" spans="1:11" ht="15">
      <c r="A201" s="104"/>
      <c r="B201" s="104"/>
      <c r="C201" s="105"/>
      <c r="D201" s="105"/>
      <c r="E201" s="105"/>
      <c r="F201" s="105"/>
      <c r="G201" s="106"/>
      <c r="H201" s="106"/>
      <c r="I201" s="106"/>
      <c r="J201" s="106"/>
      <c r="K201" s="1"/>
    </row>
    <row r="202" spans="1:11" ht="15">
      <c r="A202" s="104"/>
      <c r="B202" s="104"/>
      <c r="C202" s="105"/>
      <c r="D202" s="105"/>
      <c r="E202" s="105"/>
      <c r="F202" s="105"/>
      <c r="G202" s="106"/>
      <c r="H202" s="106"/>
      <c r="I202" s="106"/>
      <c r="J202" s="106"/>
      <c r="K202" s="1"/>
    </row>
    <row r="203" spans="1:11" ht="15">
      <c r="A203" s="104"/>
      <c r="B203" s="104"/>
      <c r="C203" s="105"/>
      <c r="D203" s="105"/>
      <c r="E203" s="105"/>
      <c r="F203" s="105"/>
      <c r="G203" s="106"/>
      <c r="H203" s="106"/>
      <c r="I203" s="106"/>
      <c r="J203" s="106"/>
      <c r="K203" s="1"/>
    </row>
    <row r="204" spans="1:11" ht="15">
      <c r="A204" s="104"/>
      <c r="B204" s="104"/>
      <c r="C204" s="105"/>
      <c r="D204" s="105"/>
      <c r="E204" s="105"/>
      <c r="F204" s="105"/>
      <c r="G204" s="106"/>
      <c r="H204" s="106"/>
      <c r="I204" s="106"/>
      <c r="J204" s="106"/>
      <c r="K204" s="1"/>
    </row>
    <row r="205" spans="1:11" ht="15">
      <c r="A205" s="104"/>
      <c r="B205" s="104"/>
      <c r="C205" s="105"/>
      <c r="D205" s="105"/>
      <c r="E205" s="105"/>
      <c r="F205" s="105"/>
      <c r="G205" s="106"/>
      <c r="H205" s="106"/>
      <c r="I205" s="106"/>
      <c r="J205" s="106"/>
      <c r="K205" s="1"/>
    </row>
  </sheetData>
  <mergeCells count="8">
    <mergeCell ref="B5:E5"/>
    <mergeCell ref="B7:J8"/>
    <mergeCell ref="B9:J9"/>
    <mergeCell ref="B2:B3"/>
    <mergeCell ref="C2:E3"/>
    <mergeCell ref="I2:J2"/>
    <mergeCell ref="G3:J3"/>
    <mergeCell ref="I4:J4"/>
  </mergeCells>
  <dataValidations count="1">
    <dataValidation type="list" allowBlank="1" showErrorMessage="1" sqref="H14:H26 H30:H31 H43:H54 H59:H62 H67:H95 H100:H101 H106:H122 H127:H144 H148:H149 H154:H161 H166:H171 H176" xr:uid="{00000000-0002-0000-0000-000000000000}">
      <formula1>"Wireless,Wired,Hybrid"</formula1>
    </dataValidation>
  </dataValidations>
  <hyperlinks>
    <hyperlink ref="B14" r:id="rId1" xr:uid="{00000000-0004-0000-0000-000000000000}"/>
    <hyperlink ref="B15" r:id="rId2" xr:uid="{00000000-0004-0000-0000-000001000000}"/>
    <hyperlink ref="B16" r:id="rId3" xr:uid="{00000000-0004-0000-0000-000002000000}"/>
    <hyperlink ref="B17" r:id="rId4" xr:uid="{00000000-0004-0000-0000-000003000000}"/>
    <hyperlink ref="B18" r:id="rId5" xr:uid="{00000000-0004-0000-0000-000004000000}"/>
    <hyperlink ref="B19"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B26" r:id="rId13" xr:uid="{00000000-0004-0000-0000-00000C000000}"/>
    <hyperlink ref="B30" r:id="rId14" xr:uid="{00000000-0004-0000-0000-00000D000000}"/>
    <hyperlink ref="B31" r:id="rId15" xr:uid="{00000000-0004-0000-0000-00000E000000}"/>
    <hyperlink ref="B35" r:id="rId16" xr:uid="{00000000-0004-0000-0000-00000F000000}"/>
    <hyperlink ref="B36" r:id="rId17" xr:uid="{00000000-0004-0000-0000-000010000000}"/>
    <hyperlink ref="B37" r:id="rId18" xr:uid="{00000000-0004-0000-0000-000011000000}"/>
    <hyperlink ref="B38" r:id="rId19" xr:uid="{00000000-0004-0000-0000-000012000000}"/>
    <hyperlink ref="B43" r:id="rId20" xr:uid="{00000000-0004-0000-0000-000013000000}"/>
    <hyperlink ref="B44" r:id="rId21" xr:uid="{00000000-0004-0000-0000-000014000000}"/>
    <hyperlink ref="B45" r:id="rId22" xr:uid="{00000000-0004-0000-0000-000015000000}"/>
    <hyperlink ref="B46" r:id="rId23" xr:uid="{00000000-0004-0000-0000-000016000000}"/>
    <hyperlink ref="B47" r:id="rId24" xr:uid="{00000000-0004-0000-0000-000017000000}"/>
    <hyperlink ref="B48" r:id="rId25" xr:uid="{00000000-0004-0000-0000-000018000000}"/>
    <hyperlink ref="B49" r:id="rId26" xr:uid="{00000000-0004-0000-0000-000019000000}"/>
    <hyperlink ref="B50" r:id="rId27" xr:uid="{00000000-0004-0000-0000-00001A000000}"/>
    <hyperlink ref="B51" r:id="rId28" xr:uid="{00000000-0004-0000-0000-00001B000000}"/>
    <hyperlink ref="B52" r:id="rId29" xr:uid="{00000000-0004-0000-0000-00001C000000}"/>
    <hyperlink ref="B53" r:id="rId30" xr:uid="{00000000-0004-0000-0000-00001D000000}"/>
    <hyperlink ref="B54" r:id="rId31" xr:uid="{00000000-0004-0000-0000-00001E000000}"/>
    <hyperlink ref="B59" r:id="rId32" xr:uid="{00000000-0004-0000-0000-00001F000000}"/>
    <hyperlink ref="B60" r:id="rId33" xr:uid="{00000000-0004-0000-0000-000020000000}"/>
    <hyperlink ref="B61" r:id="rId34" xr:uid="{00000000-0004-0000-0000-000021000000}"/>
    <hyperlink ref="B62" r:id="rId35" xr:uid="{00000000-0004-0000-0000-000022000000}"/>
    <hyperlink ref="B67" r:id="rId36" xr:uid="{00000000-0004-0000-0000-000023000000}"/>
    <hyperlink ref="B68" r:id="rId37" xr:uid="{00000000-0004-0000-0000-000024000000}"/>
    <hyperlink ref="B69" r:id="rId38" xr:uid="{00000000-0004-0000-0000-000025000000}"/>
    <hyperlink ref="B70" r:id="rId39" xr:uid="{00000000-0004-0000-0000-000026000000}"/>
    <hyperlink ref="B71" r:id="rId40" xr:uid="{00000000-0004-0000-0000-000027000000}"/>
    <hyperlink ref="B72" r:id="rId41" xr:uid="{00000000-0004-0000-0000-000028000000}"/>
    <hyperlink ref="B73" r:id="rId42" xr:uid="{00000000-0004-0000-0000-000029000000}"/>
    <hyperlink ref="B74" r:id="rId43" xr:uid="{00000000-0004-0000-0000-00002A000000}"/>
    <hyperlink ref="B75" r:id="rId44" xr:uid="{00000000-0004-0000-0000-00002B000000}"/>
    <hyperlink ref="B76" r:id="rId45" xr:uid="{00000000-0004-0000-0000-00002C000000}"/>
    <hyperlink ref="B77" r:id="rId46" xr:uid="{00000000-0004-0000-0000-00002D000000}"/>
    <hyperlink ref="B78" r:id="rId47" xr:uid="{00000000-0004-0000-0000-00002E000000}"/>
    <hyperlink ref="B79" r:id="rId48" xr:uid="{00000000-0004-0000-0000-00002F000000}"/>
    <hyperlink ref="B80" r:id="rId49" xr:uid="{00000000-0004-0000-0000-000030000000}"/>
    <hyperlink ref="B81" r:id="rId50" xr:uid="{00000000-0004-0000-0000-000031000000}"/>
    <hyperlink ref="B82" r:id="rId51" xr:uid="{00000000-0004-0000-0000-000032000000}"/>
    <hyperlink ref="B83" r:id="rId52" xr:uid="{00000000-0004-0000-0000-000033000000}"/>
    <hyperlink ref="B84" r:id="rId53" xr:uid="{00000000-0004-0000-0000-000034000000}"/>
    <hyperlink ref="B85" r:id="rId54" xr:uid="{00000000-0004-0000-0000-000035000000}"/>
    <hyperlink ref="B86" r:id="rId55" xr:uid="{00000000-0004-0000-0000-000036000000}"/>
    <hyperlink ref="B87" r:id="rId56" xr:uid="{00000000-0004-0000-0000-000037000000}"/>
    <hyperlink ref="B88" r:id="rId57" xr:uid="{00000000-0004-0000-0000-000038000000}"/>
    <hyperlink ref="B89" r:id="rId58" xr:uid="{00000000-0004-0000-0000-000039000000}"/>
    <hyperlink ref="B90" r:id="rId59" xr:uid="{00000000-0004-0000-0000-00003A000000}"/>
    <hyperlink ref="B91" r:id="rId60" xr:uid="{00000000-0004-0000-0000-00003B000000}"/>
    <hyperlink ref="B92" r:id="rId61" xr:uid="{00000000-0004-0000-0000-00003C000000}"/>
    <hyperlink ref="B93" r:id="rId62" xr:uid="{00000000-0004-0000-0000-00003D000000}"/>
    <hyperlink ref="B94" r:id="rId63" xr:uid="{00000000-0004-0000-0000-00003E000000}"/>
    <hyperlink ref="B95" r:id="rId64" xr:uid="{00000000-0004-0000-0000-00003F000000}"/>
    <hyperlink ref="B100" r:id="rId65" xr:uid="{00000000-0004-0000-0000-000040000000}"/>
    <hyperlink ref="B101" r:id="rId66" xr:uid="{00000000-0004-0000-0000-000041000000}"/>
    <hyperlink ref="B106" r:id="rId67" xr:uid="{00000000-0004-0000-0000-000042000000}"/>
    <hyperlink ref="B107" r:id="rId68" xr:uid="{00000000-0004-0000-0000-000043000000}"/>
    <hyperlink ref="B108" r:id="rId69" xr:uid="{00000000-0004-0000-0000-000044000000}"/>
    <hyperlink ref="B109" r:id="rId70" xr:uid="{00000000-0004-0000-0000-000045000000}"/>
    <hyperlink ref="B110" r:id="rId71" xr:uid="{00000000-0004-0000-0000-000046000000}"/>
    <hyperlink ref="B111" r:id="rId72" xr:uid="{00000000-0004-0000-0000-000047000000}"/>
    <hyperlink ref="B112" r:id="rId73" xr:uid="{00000000-0004-0000-0000-000048000000}"/>
    <hyperlink ref="B113" r:id="rId74" xr:uid="{00000000-0004-0000-0000-000049000000}"/>
    <hyperlink ref="B114" r:id="rId75" xr:uid="{00000000-0004-0000-0000-00004A000000}"/>
    <hyperlink ref="B115" r:id="rId76" xr:uid="{00000000-0004-0000-0000-00004B000000}"/>
    <hyperlink ref="B116" r:id="rId77" xr:uid="{00000000-0004-0000-0000-00004C000000}"/>
    <hyperlink ref="B117" r:id="rId78" xr:uid="{00000000-0004-0000-0000-00004D000000}"/>
    <hyperlink ref="B118" r:id="rId79" xr:uid="{00000000-0004-0000-0000-00004E000000}"/>
    <hyperlink ref="B119" r:id="rId80" xr:uid="{00000000-0004-0000-0000-00004F000000}"/>
    <hyperlink ref="B120" r:id="rId81" xr:uid="{00000000-0004-0000-0000-000050000000}"/>
    <hyperlink ref="B121" r:id="rId82" xr:uid="{00000000-0004-0000-0000-000051000000}"/>
    <hyperlink ref="B122" r:id="rId83" xr:uid="{00000000-0004-0000-0000-000052000000}"/>
    <hyperlink ref="B127" r:id="rId84" xr:uid="{00000000-0004-0000-0000-000053000000}"/>
    <hyperlink ref="B128" r:id="rId85" xr:uid="{00000000-0004-0000-0000-000054000000}"/>
    <hyperlink ref="B129" r:id="rId86" xr:uid="{00000000-0004-0000-0000-000055000000}"/>
    <hyperlink ref="B130" r:id="rId87" xr:uid="{00000000-0004-0000-0000-000056000000}"/>
    <hyperlink ref="B131" r:id="rId88" xr:uid="{00000000-0004-0000-0000-000057000000}"/>
    <hyperlink ref="B132" r:id="rId89" xr:uid="{00000000-0004-0000-0000-000058000000}"/>
    <hyperlink ref="B133" r:id="rId90" xr:uid="{00000000-0004-0000-0000-000059000000}"/>
    <hyperlink ref="B134" r:id="rId91" xr:uid="{00000000-0004-0000-0000-00005A000000}"/>
    <hyperlink ref="B135" r:id="rId92" xr:uid="{00000000-0004-0000-0000-00005B000000}"/>
    <hyperlink ref="B136" r:id="rId93" xr:uid="{00000000-0004-0000-0000-00005C000000}"/>
    <hyperlink ref="B137" r:id="rId94" xr:uid="{00000000-0004-0000-0000-00005D000000}"/>
    <hyperlink ref="B138" r:id="rId95" xr:uid="{00000000-0004-0000-0000-00005E000000}"/>
    <hyperlink ref="B139" r:id="rId96" xr:uid="{00000000-0004-0000-0000-00005F000000}"/>
    <hyperlink ref="B140" r:id="rId97" xr:uid="{00000000-0004-0000-0000-000060000000}"/>
    <hyperlink ref="B141" r:id="rId98" xr:uid="{00000000-0004-0000-0000-000061000000}"/>
    <hyperlink ref="B142" r:id="rId99" xr:uid="{00000000-0004-0000-0000-000062000000}"/>
    <hyperlink ref="B143" r:id="rId100" xr:uid="{00000000-0004-0000-0000-000063000000}"/>
    <hyperlink ref="B144" r:id="rId101" xr:uid="{00000000-0004-0000-0000-000064000000}"/>
    <hyperlink ref="B148" r:id="rId102" xr:uid="{00000000-0004-0000-0000-000065000000}"/>
    <hyperlink ref="B149" r:id="rId103" xr:uid="{00000000-0004-0000-0000-000066000000}"/>
    <hyperlink ref="B154" r:id="rId104" xr:uid="{00000000-0004-0000-0000-000067000000}"/>
    <hyperlink ref="B155" r:id="rId105" xr:uid="{00000000-0004-0000-0000-000068000000}"/>
    <hyperlink ref="B156" r:id="rId106" xr:uid="{00000000-0004-0000-0000-000069000000}"/>
    <hyperlink ref="B157" r:id="rId107" xr:uid="{00000000-0004-0000-0000-00006A000000}"/>
    <hyperlink ref="B158" r:id="rId108" xr:uid="{00000000-0004-0000-0000-00006B000000}"/>
    <hyperlink ref="B159" r:id="rId109" xr:uid="{00000000-0004-0000-0000-00006C000000}"/>
    <hyperlink ref="B160" r:id="rId110" xr:uid="{00000000-0004-0000-0000-00006D000000}"/>
    <hyperlink ref="B161" r:id="rId111" xr:uid="{00000000-0004-0000-0000-00006E000000}"/>
    <hyperlink ref="B166" r:id="rId112" xr:uid="{00000000-0004-0000-0000-00006F000000}"/>
    <hyperlink ref="B167" r:id="rId113" xr:uid="{00000000-0004-0000-0000-000070000000}"/>
    <hyperlink ref="B168" r:id="rId114" xr:uid="{00000000-0004-0000-0000-000071000000}"/>
    <hyperlink ref="B169" r:id="rId115" xr:uid="{00000000-0004-0000-0000-000072000000}"/>
    <hyperlink ref="B170" r:id="rId116" xr:uid="{00000000-0004-0000-0000-000073000000}"/>
    <hyperlink ref="B171" r:id="rId117" xr:uid="{00000000-0004-0000-0000-000074000000}"/>
    <hyperlink ref="B176" r:id="rId118" xr:uid="{00000000-0004-0000-0000-000075000000}"/>
    <hyperlink ref="B181" r:id="rId119" xr:uid="{00000000-0004-0000-0000-000076000000}"/>
    <hyperlink ref="B182" r:id="rId120" xr:uid="{00000000-0004-0000-0000-000077000000}"/>
    <hyperlink ref="B183" r:id="rId121" xr:uid="{00000000-0004-0000-0000-000078000000}"/>
    <hyperlink ref="B184" r:id="rId122" xr:uid="{00000000-0004-0000-0000-000079000000}"/>
    <hyperlink ref="B185" r:id="rId123" xr:uid="{00000000-0004-0000-0000-00007A000000}"/>
    <hyperlink ref="B186" r:id="rId124" xr:uid="{00000000-0004-0000-0000-00007B000000}"/>
    <hyperlink ref="B187" r:id="rId125" xr:uid="{00000000-0004-0000-0000-00007C000000}"/>
    <hyperlink ref="B188" r:id="rId126" xr:uid="{00000000-0004-0000-0000-00007D000000}"/>
    <hyperlink ref="B189" r:id="rId127" xr:uid="{00000000-0004-0000-0000-00007E000000}"/>
    <hyperlink ref="B190" r:id="rId128" xr:uid="{00000000-0004-0000-0000-00007F000000}"/>
  </hyperlinks>
  <pageMargins left="0.7" right="0.7" top="0.75" bottom="0.75" header="0.3" footer="0.3"/>
  <drawing r:id="rId1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61"/>
  <sheetViews>
    <sheetView workbookViewId="0">
      <selection activeCell="L8" sqref="L8"/>
    </sheetView>
  </sheetViews>
  <sheetFormatPr baseColWidth="10" defaultColWidth="12.5703125" defaultRowHeight="15.75" customHeight="1"/>
  <cols>
    <col min="1" max="1" width="3.42578125" customWidth="1"/>
    <col min="3" max="3" width="15.5703125" customWidth="1"/>
    <col min="4" max="4" width="14.7109375" customWidth="1"/>
    <col min="5" max="5" width="9.42578125" customWidth="1"/>
    <col min="6" max="6" width="39.42578125" customWidth="1"/>
    <col min="7" max="7" width="11.42578125" customWidth="1"/>
    <col min="8" max="8" width="12.85546875" customWidth="1"/>
    <col min="9" max="9" width="15.140625" customWidth="1"/>
    <col min="10" max="10" width="3" customWidth="1"/>
  </cols>
  <sheetData>
    <row r="1" spans="1:10" ht="15">
      <c r="A1" s="1"/>
      <c r="B1" s="2"/>
      <c r="C1" s="3"/>
      <c r="D1" s="3"/>
      <c r="E1" s="3"/>
      <c r="F1" s="3"/>
      <c r="G1" s="4"/>
      <c r="H1" s="4"/>
      <c r="I1" s="4"/>
      <c r="J1" s="112"/>
    </row>
    <row r="2" spans="1:10" ht="20.25" customHeight="1">
      <c r="A2" s="1"/>
      <c r="B2" s="294"/>
      <c r="C2" s="296" t="s">
        <v>0</v>
      </c>
      <c r="D2" s="297"/>
      <c r="E2" s="298"/>
      <c r="F2" s="3"/>
      <c r="G2" s="3"/>
      <c r="H2" s="3"/>
      <c r="I2" s="113"/>
      <c r="J2" s="114"/>
    </row>
    <row r="3" spans="1:10" ht="18.75" customHeight="1">
      <c r="A3" s="1"/>
      <c r="B3" s="295"/>
      <c r="C3" s="299"/>
      <c r="D3" s="300"/>
      <c r="E3" s="301"/>
      <c r="F3" s="3"/>
      <c r="G3" s="3"/>
      <c r="H3" s="3"/>
      <c r="I3" s="6"/>
      <c r="J3" s="114"/>
    </row>
    <row r="4" spans="1:10" ht="12" customHeight="1">
      <c r="A4" s="1"/>
      <c r="B4" s="2"/>
      <c r="C4" s="3"/>
      <c r="D4" s="3"/>
      <c r="E4" s="3"/>
      <c r="F4" s="3"/>
      <c r="G4" s="3"/>
      <c r="H4" s="3"/>
      <c r="I4" s="8"/>
      <c r="J4" s="114"/>
    </row>
    <row r="5" spans="1:10" ht="15">
      <c r="A5" s="2"/>
      <c r="B5" s="305" t="s">
        <v>1208</v>
      </c>
      <c r="C5" s="306"/>
      <c r="D5" s="306"/>
      <c r="E5" s="303"/>
      <c r="F5" s="9"/>
      <c r="G5" s="9"/>
      <c r="H5" s="9"/>
      <c r="I5" s="10"/>
      <c r="J5" s="43"/>
    </row>
    <row r="6" spans="1:10" ht="15">
      <c r="A6" s="2"/>
      <c r="B6" s="328" t="s">
        <v>245</v>
      </c>
      <c r="C6" s="329"/>
      <c r="D6" s="329"/>
      <c r="E6" s="329"/>
      <c r="F6" s="329"/>
      <c r="G6" s="329"/>
      <c r="H6" s="329"/>
      <c r="I6" s="330"/>
      <c r="J6" s="43"/>
    </row>
    <row r="7" spans="1:10" ht="15">
      <c r="A7" s="2"/>
      <c r="B7" s="299"/>
      <c r="C7" s="300"/>
      <c r="D7" s="300"/>
      <c r="E7" s="300"/>
      <c r="F7" s="300"/>
      <c r="G7" s="300"/>
      <c r="H7" s="300"/>
      <c r="I7" s="301"/>
      <c r="J7" s="43"/>
    </row>
    <row r="8" spans="1:10" ht="15">
      <c r="A8" s="2"/>
      <c r="B8" s="51" t="s">
        <v>3</v>
      </c>
      <c r="C8" s="9"/>
      <c r="D8" s="9"/>
      <c r="E8" s="9"/>
      <c r="F8" s="9"/>
      <c r="G8" s="10"/>
      <c r="H8" s="10"/>
      <c r="I8" s="10"/>
      <c r="J8" s="43"/>
    </row>
    <row r="9" spans="1:10" ht="15">
      <c r="A9" s="2"/>
      <c r="B9" s="116"/>
      <c r="C9" s="53"/>
      <c r="D9" s="53"/>
      <c r="E9" s="53"/>
      <c r="F9" s="53"/>
      <c r="G9" s="54"/>
      <c r="H9" s="54"/>
      <c r="I9" s="54"/>
      <c r="J9" s="43"/>
    </row>
    <row r="10" spans="1:10" ht="27.75" customHeight="1">
      <c r="A10" s="2"/>
      <c r="B10" s="16" t="s">
        <v>4</v>
      </c>
      <c r="C10" s="55" t="s">
        <v>5</v>
      </c>
      <c r="D10" s="55" t="s">
        <v>6</v>
      </c>
      <c r="E10" s="56" t="s">
        <v>7</v>
      </c>
      <c r="F10" s="56" t="s">
        <v>8</v>
      </c>
      <c r="G10" s="16" t="s">
        <v>9</v>
      </c>
      <c r="H10" s="58" t="s">
        <v>11</v>
      </c>
      <c r="I10" s="59" t="s">
        <v>12</v>
      </c>
      <c r="J10" s="117"/>
    </row>
    <row r="11" spans="1:10" ht="15">
      <c r="A11" s="43"/>
      <c r="B11" s="60" t="s">
        <v>13</v>
      </c>
      <c r="C11" s="61">
        <v>4823114015212</v>
      </c>
      <c r="D11" s="61" t="s">
        <v>246</v>
      </c>
      <c r="E11" s="61">
        <f ca="1">IFERROR(__xludf.DUMMYFUNCTION("VLOOKUP(SPLIT(D11,"".""),SPLIT(D11,"".""),1)"),38236)</f>
        <v>38236</v>
      </c>
      <c r="F11" s="61" t="s">
        <v>247</v>
      </c>
      <c r="G11" s="63" t="s">
        <v>16</v>
      </c>
      <c r="H11" s="71">
        <v>114.66</v>
      </c>
      <c r="I11" s="72">
        <v>229.32</v>
      </c>
      <c r="J11" s="118"/>
    </row>
    <row r="12" spans="1:10" ht="15">
      <c r="A12" s="43"/>
      <c r="B12" s="65" t="s">
        <v>13</v>
      </c>
      <c r="C12" s="61">
        <v>4823114015205</v>
      </c>
      <c r="D12" s="61" t="s">
        <v>248</v>
      </c>
      <c r="E12" s="61">
        <f ca="1">IFERROR(__xludf.DUMMYFUNCTION("VLOOKUP(SPLIT(D12,"".""),SPLIT(D12,"".""),1)"),38237)</f>
        <v>38237</v>
      </c>
      <c r="F12" s="61" t="s">
        <v>247</v>
      </c>
      <c r="G12" s="63" t="s">
        <v>19</v>
      </c>
      <c r="H12" s="71">
        <v>114.66</v>
      </c>
      <c r="I12" s="72">
        <v>229.32</v>
      </c>
      <c r="J12" s="118"/>
    </row>
    <row r="13" spans="1:10" ht="15">
      <c r="A13" s="43"/>
      <c r="B13" s="65" t="s">
        <v>13</v>
      </c>
      <c r="C13" s="61">
        <v>4823114015199</v>
      </c>
      <c r="D13" s="61" t="s">
        <v>249</v>
      </c>
      <c r="E13" s="61">
        <f ca="1">IFERROR(__xludf.DUMMYFUNCTION("VLOOKUP(SPLIT(D13,"".""),SPLIT(D13,"".""),1)"),38238)</f>
        <v>38238</v>
      </c>
      <c r="F13" s="61" t="s">
        <v>250</v>
      </c>
      <c r="G13" s="63" t="s">
        <v>16</v>
      </c>
      <c r="H13" s="71">
        <v>160.97</v>
      </c>
      <c r="I13" s="72">
        <v>321.93</v>
      </c>
      <c r="J13" s="118"/>
    </row>
    <row r="14" spans="1:10" ht="15">
      <c r="A14" s="43"/>
      <c r="B14" s="65" t="s">
        <v>13</v>
      </c>
      <c r="C14" s="61">
        <v>4823114015182</v>
      </c>
      <c r="D14" s="61" t="s">
        <v>251</v>
      </c>
      <c r="E14" s="61">
        <f ca="1">IFERROR(__xludf.DUMMYFUNCTION("VLOOKUP(SPLIT(D14,"".""),SPLIT(D14,"".""),1)"),38239)</f>
        <v>38239</v>
      </c>
      <c r="F14" s="61" t="s">
        <v>250</v>
      </c>
      <c r="G14" s="63" t="s">
        <v>19</v>
      </c>
      <c r="H14" s="71">
        <v>160.97</v>
      </c>
      <c r="I14" s="72">
        <v>321.93</v>
      </c>
      <c r="J14" s="118"/>
    </row>
    <row r="15" spans="1:10" ht="15">
      <c r="A15" s="43"/>
      <c r="B15" s="65" t="s">
        <v>13</v>
      </c>
      <c r="C15" s="61">
        <v>4823114015090</v>
      </c>
      <c r="D15" s="61" t="s">
        <v>252</v>
      </c>
      <c r="E15" s="61">
        <f ca="1">IFERROR(__xludf.DUMMYFUNCTION("VLOOKUP(SPLIT(D15,"".""),SPLIT(D15,"".""),1)"),38240)</f>
        <v>38240</v>
      </c>
      <c r="F15" s="61" t="s">
        <v>253</v>
      </c>
      <c r="G15" s="63" t="s">
        <v>16</v>
      </c>
      <c r="H15" s="71">
        <v>234.28</v>
      </c>
      <c r="I15" s="72">
        <v>468.56</v>
      </c>
      <c r="J15" s="118"/>
    </row>
    <row r="16" spans="1:10" ht="15">
      <c r="A16" s="43"/>
      <c r="B16" s="65" t="s">
        <v>13</v>
      </c>
      <c r="C16" s="61">
        <v>4823114015083</v>
      </c>
      <c r="D16" s="61" t="s">
        <v>254</v>
      </c>
      <c r="E16" s="61">
        <f ca="1">IFERROR(__xludf.DUMMYFUNCTION("VLOOKUP(SPLIT(D16,"".""),SPLIT(D16,"".""),1)"),38241)</f>
        <v>38241</v>
      </c>
      <c r="F16" s="61" t="s">
        <v>253</v>
      </c>
      <c r="G16" s="63" t="s">
        <v>19</v>
      </c>
      <c r="H16" s="71">
        <v>234.28</v>
      </c>
      <c r="I16" s="72">
        <v>468.56</v>
      </c>
      <c r="J16" s="118"/>
    </row>
    <row r="17" spans="1:10" ht="15">
      <c r="A17" s="43"/>
      <c r="B17" s="65" t="s">
        <v>13</v>
      </c>
      <c r="C17" s="61">
        <v>4823114015151</v>
      </c>
      <c r="D17" s="61" t="s">
        <v>255</v>
      </c>
      <c r="E17" s="61">
        <f ca="1">IFERROR(__xludf.DUMMYFUNCTION("VLOOKUP(SPLIT(D17,"".""),SPLIT(D17,"".""),1)"),38244)</f>
        <v>38244</v>
      </c>
      <c r="F17" s="61" t="s">
        <v>256</v>
      </c>
      <c r="G17" s="70" t="s">
        <v>16</v>
      </c>
      <c r="H17" s="71">
        <v>280.04000000000002</v>
      </c>
      <c r="I17" s="72">
        <v>560.07000000000005</v>
      </c>
      <c r="J17" s="118"/>
    </row>
    <row r="18" spans="1:10" ht="15">
      <c r="A18" s="43"/>
      <c r="B18" s="68" t="s">
        <v>13</v>
      </c>
      <c r="C18" s="69">
        <v>4823114015144</v>
      </c>
      <c r="D18" s="69" t="s">
        <v>257</v>
      </c>
      <c r="E18" s="69">
        <f ca="1">IFERROR(__xludf.DUMMYFUNCTION("VLOOKUP(SPLIT(D18,"".""),SPLIT(D18,"".""),1)"),38245)</f>
        <v>38245</v>
      </c>
      <c r="F18" s="119" t="s">
        <v>256</v>
      </c>
      <c r="G18" s="88" t="s">
        <v>19</v>
      </c>
      <c r="H18" s="71">
        <v>280.04000000000002</v>
      </c>
      <c r="I18" s="72">
        <v>560.07000000000005</v>
      </c>
      <c r="J18" s="118"/>
    </row>
    <row r="19" spans="1:10" ht="15">
      <c r="A19" s="43"/>
      <c r="B19" s="37" t="s">
        <v>13</v>
      </c>
      <c r="C19" s="120">
        <v>4823114080975</v>
      </c>
      <c r="D19" s="120" t="s">
        <v>258</v>
      </c>
      <c r="E19" s="121">
        <f ca="1">IFERROR(__xludf.DUMMYFUNCTION("VLOOKUP(SPLIT(D19,"".""),SPLIT(D19,"".""),1)"),149623)</f>
        <v>149623</v>
      </c>
      <c r="F19" s="39" t="s">
        <v>259</v>
      </c>
      <c r="G19" s="42" t="s">
        <v>16</v>
      </c>
      <c r="H19" s="122">
        <v>173.99</v>
      </c>
      <c r="I19" s="122">
        <v>347.98</v>
      </c>
      <c r="J19" s="118"/>
    </row>
    <row r="20" spans="1:10" ht="15">
      <c r="A20" s="43"/>
      <c r="B20" s="37" t="s">
        <v>13</v>
      </c>
      <c r="C20" s="120">
        <v>4823114080982</v>
      </c>
      <c r="D20" s="120" t="s">
        <v>260</v>
      </c>
      <c r="E20" s="121">
        <f ca="1">IFERROR(__xludf.DUMMYFUNCTION("VLOOKUP(SPLIT(D20,"".""),SPLIT(D20,"".""),1)"),149624)</f>
        <v>149624</v>
      </c>
      <c r="F20" s="39" t="s">
        <v>259</v>
      </c>
      <c r="G20" s="42" t="s">
        <v>19</v>
      </c>
      <c r="H20" s="122">
        <v>173.99</v>
      </c>
      <c r="I20" s="122">
        <v>347.98</v>
      </c>
      <c r="J20" s="118"/>
    </row>
    <row r="21" spans="1:10" ht="15">
      <c r="A21" s="43"/>
      <c r="B21" s="123" t="s">
        <v>13</v>
      </c>
      <c r="C21" s="120">
        <v>4823114080234</v>
      </c>
      <c r="D21" s="120" t="s">
        <v>261</v>
      </c>
      <c r="E21" s="121">
        <f ca="1">IFERROR(__xludf.DUMMYFUNCTION("VLOOKUP(SPLIT(D21,"".""),SPLIT(D21,"".""),1)"),147147)</f>
        <v>147147</v>
      </c>
      <c r="F21" s="39" t="s">
        <v>262</v>
      </c>
      <c r="G21" s="42" t="s">
        <v>25</v>
      </c>
      <c r="H21" s="124">
        <v>156.66999999999999</v>
      </c>
      <c r="I21" s="124">
        <v>313.35000000000002</v>
      </c>
      <c r="J21" s="118"/>
    </row>
    <row r="22" spans="1:10" ht="15">
      <c r="A22" s="2"/>
      <c r="B22" s="74"/>
      <c r="C22" s="75"/>
      <c r="D22" s="75"/>
      <c r="E22" s="75"/>
      <c r="F22" s="75"/>
      <c r="G22" s="76"/>
      <c r="H22" s="76"/>
      <c r="I22" s="76"/>
      <c r="J22" s="43"/>
    </row>
    <row r="23" spans="1:10" ht="15">
      <c r="A23" s="2"/>
      <c r="B23" s="51" t="s">
        <v>40</v>
      </c>
      <c r="C23" s="9"/>
      <c r="D23" s="9"/>
      <c r="E23" s="9"/>
      <c r="F23" s="9"/>
      <c r="G23" s="10"/>
      <c r="H23" s="10"/>
      <c r="I23" s="10"/>
      <c r="J23" s="43"/>
    </row>
    <row r="24" spans="1:10" ht="15">
      <c r="A24" s="2"/>
      <c r="B24" s="74"/>
      <c r="C24" s="9"/>
      <c r="D24" s="9"/>
      <c r="E24" s="9"/>
      <c r="F24" s="9"/>
      <c r="G24" s="10"/>
      <c r="H24" s="10"/>
      <c r="I24" s="10"/>
      <c r="J24" s="43"/>
    </row>
    <row r="25" spans="1:10" ht="26.25" customHeight="1">
      <c r="A25" s="2"/>
      <c r="B25" s="16" t="s">
        <v>4</v>
      </c>
      <c r="C25" s="55" t="s">
        <v>5</v>
      </c>
      <c r="D25" s="55" t="s">
        <v>6</v>
      </c>
      <c r="E25" s="56" t="s">
        <v>7</v>
      </c>
      <c r="F25" s="56" t="s">
        <v>8</v>
      </c>
      <c r="G25" s="16" t="s">
        <v>9</v>
      </c>
      <c r="H25" s="58" t="s">
        <v>11</v>
      </c>
      <c r="I25" s="59" t="s">
        <v>12</v>
      </c>
      <c r="J25" s="117"/>
    </row>
    <row r="26" spans="1:10" ht="15">
      <c r="A26" s="43"/>
      <c r="B26" s="125" t="s">
        <v>13</v>
      </c>
      <c r="C26" s="61">
        <v>4823114015847</v>
      </c>
      <c r="D26" s="61" t="s">
        <v>263</v>
      </c>
      <c r="E26" s="61">
        <f ca="1">IFERROR(__xludf.DUMMYFUNCTION("VLOOKUP(SPLIT(D26,"".""),SPLIT(D26,"".""),1)"),38206)</f>
        <v>38206</v>
      </c>
      <c r="F26" s="61" t="s">
        <v>264</v>
      </c>
      <c r="G26" s="63" t="s">
        <v>16</v>
      </c>
      <c r="H26" s="27">
        <v>84.89</v>
      </c>
      <c r="I26" s="64">
        <v>169.79</v>
      </c>
      <c r="J26" s="118"/>
    </row>
    <row r="27" spans="1:10" ht="15">
      <c r="A27" s="43"/>
      <c r="B27" s="126" t="s">
        <v>13</v>
      </c>
      <c r="C27" s="61">
        <v>4823114015830</v>
      </c>
      <c r="D27" s="61" t="s">
        <v>265</v>
      </c>
      <c r="E27" s="61">
        <f ca="1">IFERROR(__xludf.DUMMYFUNCTION("VLOOKUP(SPLIT(D27,"".""),SPLIT(D27,"".""),1)"),38205)</f>
        <v>38205</v>
      </c>
      <c r="F27" s="61" t="s">
        <v>264</v>
      </c>
      <c r="G27" s="63" t="s">
        <v>19</v>
      </c>
      <c r="H27" s="27">
        <v>84.89</v>
      </c>
      <c r="I27" s="64">
        <v>169.79</v>
      </c>
      <c r="J27" s="118"/>
    </row>
    <row r="28" spans="1:10" ht="15">
      <c r="A28" s="43"/>
      <c r="B28" s="126" t="s">
        <v>13</v>
      </c>
      <c r="C28" s="61">
        <v>4823114015823</v>
      </c>
      <c r="D28" s="61" t="s">
        <v>266</v>
      </c>
      <c r="E28" s="61">
        <f ca="1">IFERROR(__xludf.DUMMYFUNCTION("VLOOKUP(SPLIT(D28,"".""),SPLIT(D28,"".""),1)"),38208)</f>
        <v>38208</v>
      </c>
      <c r="F28" s="61" t="s">
        <v>267</v>
      </c>
      <c r="G28" s="63" t="s">
        <v>16</v>
      </c>
      <c r="H28" s="27">
        <v>116.87</v>
      </c>
      <c r="I28" s="64">
        <v>233.73</v>
      </c>
      <c r="J28" s="118"/>
    </row>
    <row r="29" spans="1:10" ht="15">
      <c r="A29" s="43"/>
      <c r="B29" s="126" t="s">
        <v>13</v>
      </c>
      <c r="C29" s="61">
        <v>4823114015816</v>
      </c>
      <c r="D29" s="61" t="s">
        <v>268</v>
      </c>
      <c r="E29" s="61">
        <f ca="1">IFERROR(__xludf.DUMMYFUNCTION("VLOOKUP(SPLIT(D29,"".""),SPLIT(D29,"".""),1)"),38207)</f>
        <v>38207</v>
      </c>
      <c r="F29" s="61" t="s">
        <v>267</v>
      </c>
      <c r="G29" s="63" t="s">
        <v>19</v>
      </c>
      <c r="H29" s="27">
        <v>116.87</v>
      </c>
      <c r="I29" s="64">
        <v>233.73</v>
      </c>
      <c r="J29" s="118"/>
    </row>
    <row r="30" spans="1:10" ht="17.25" customHeight="1">
      <c r="A30" s="2"/>
      <c r="B30" s="74"/>
      <c r="C30" s="75"/>
      <c r="D30" s="75"/>
      <c r="E30" s="75"/>
      <c r="F30" s="75"/>
      <c r="G30" s="76"/>
      <c r="H30" s="76"/>
      <c r="I30" s="127"/>
      <c r="J30" s="128"/>
    </row>
    <row r="31" spans="1:10" ht="17.25" customHeight="1">
      <c r="A31" s="2"/>
      <c r="B31" s="129" t="s">
        <v>52</v>
      </c>
      <c r="C31" s="9"/>
      <c r="D31" s="9"/>
      <c r="E31" s="9"/>
      <c r="F31" s="9"/>
      <c r="G31" s="10"/>
      <c r="H31" s="10"/>
      <c r="I31" s="97"/>
      <c r="J31" s="128"/>
    </row>
    <row r="32" spans="1:10" ht="17.25" customHeight="1">
      <c r="A32" s="2"/>
      <c r="B32" s="52"/>
      <c r="C32" s="9"/>
      <c r="D32" s="9"/>
      <c r="E32" s="9"/>
      <c r="F32" s="9"/>
      <c r="G32" s="10"/>
      <c r="H32" s="10"/>
      <c r="I32" s="97"/>
      <c r="J32" s="128"/>
    </row>
    <row r="33" spans="1:10" ht="27.75" customHeight="1">
      <c r="A33" s="2"/>
      <c r="B33" s="16" t="s">
        <v>4</v>
      </c>
      <c r="C33" s="55" t="s">
        <v>5</v>
      </c>
      <c r="D33" s="55" t="s">
        <v>6</v>
      </c>
      <c r="E33" s="56" t="s">
        <v>7</v>
      </c>
      <c r="F33" s="56" t="s">
        <v>8</v>
      </c>
      <c r="G33" s="16" t="s">
        <v>9</v>
      </c>
      <c r="H33" s="58" t="s">
        <v>11</v>
      </c>
      <c r="I33" s="59" t="s">
        <v>12</v>
      </c>
      <c r="J33" s="117"/>
    </row>
    <row r="34" spans="1:10" ht="15">
      <c r="A34" s="43"/>
      <c r="B34" s="60" t="s">
        <v>13</v>
      </c>
      <c r="C34" s="61">
        <v>4823114014949</v>
      </c>
      <c r="D34" s="61" t="s">
        <v>269</v>
      </c>
      <c r="E34" s="61">
        <f ca="1">IFERROR(__xludf.DUMMYFUNCTION("VLOOKUP(SPLIT(D34,"".""),SPLIT(D34,"".""),1)"),38098)</f>
        <v>38098</v>
      </c>
      <c r="F34" s="61" t="s">
        <v>270</v>
      </c>
      <c r="G34" s="63" t="s">
        <v>16</v>
      </c>
      <c r="H34" s="27">
        <v>26.46</v>
      </c>
      <c r="I34" s="64">
        <v>52.92</v>
      </c>
      <c r="J34" s="118"/>
    </row>
    <row r="35" spans="1:10" ht="15">
      <c r="A35" s="43"/>
      <c r="B35" s="65" t="s">
        <v>13</v>
      </c>
      <c r="C35" s="61">
        <v>4823114014932</v>
      </c>
      <c r="D35" s="61" t="s">
        <v>271</v>
      </c>
      <c r="E35" s="61">
        <f ca="1">IFERROR(__xludf.DUMMYFUNCTION("VLOOKUP(SPLIT(D35,"".""),SPLIT(D35,"".""),1)"),38099)</f>
        <v>38099</v>
      </c>
      <c r="F35" s="61" t="s">
        <v>270</v>
      </c>
      <c r="G35" s="63" t="s">
        <v>19</v>
      </c>
      <c r="H35" s="27">
        <v>26.46</v>
      </c>
      <c r="I35" s="64">
        <v>52.92</v>
      </c>
      <c r="J35" s="118"/>
    </row>
    <row r="36" spans="1:10" ht="15">
      <c r="A36" s="43"/>
      <c r="B36" s="65" t="s">
        <v>13</v>
      </c>
      <c r="C36" s="61">
        <v>4823114014925</v>
      </c>
      <c r="D36" s="61" t="s">
        <v>272</v>
      </c>
      <c r="E36" s="61">
        <f ca="1">IFERROR(__xludf.DUMMYFUNCTION("VLOOKUP(SPLIT(D36,"".""),SPLIT(D36,"".""),1)"),38100)</f>
        <v>38100</v>
      </c>
      <c r="F36" s="61" t="s">
        <v>273</v>
      </c>
      <c r="G36" s="63" t="s">
        <v>16</v>
      </c>
      <c r="H36" s="27">
        <v>37.49</v>
      </c>
      <c r="I36" s="64">
        <v>74.97</v>
      </c>
      <c r="J36" s="118"/>
    </row>
    <row r="37" spans="1:10" ht="15">
      <c r="A37" s="43"/>
      <c r="B37" s="65" t="s">
        <v>13</v>
      </c>
      <c r="C37" s="61">
        <v>4823114014918</v>
      </c>
      <c r="D37" s="61" t="s">
        <v>274</v>
      </c>
      <c r="E37" s="61">
        <f ca="1">IFERROR(__xludf.DUMMYFUNCTION("VLOOKUP(SPLIT(D37,"".""),SPLIT(D37,"".""),1)"),38101)</f>
        <v>38101</v>
      </c>
      <c r="F37" s="61" t="s">
        <v>273</v>
      </c>
      <c r="G37" s="63" t="s">
        <v>19</v>
      </c>
      <c r="H37" s="27">
        <v>37.49</v>
      </c>
      <c r="I37" s="64">
        <v>74.97</v>
      </c>
      <c r="J37" s="118"/>
    </row>
    <row r="38" spans="1:10" ht="17.25" customHeight="1">
      <c r="A38" s="43"/>
      <c r="B38" s="130"/>
      <c r="C38" s="131"/>
      <c r="D38" s="131"/>
      <c r="E38" s="75"/>
      <c r="F38" s="75"/>
      <c r="G38" s="76"/>
      <c r="H38" s="76"/>
      <c r="I38" s="127"/>
      <c r="J38" s="128"/>
    </row>
    <row r="39" spans="1:10" ht="17.25" customHeight="1">
      <c r="A39" s="43"/>
      <c r="B39" s="51" t="s">
        <v>72</v>
      </c>
      <c r="C39" s="96"/>
      <c r="D39" s="96"/>
      <c r="E39" s="9"/>
      <c r="F39" s="9"/>
      <c r="G39" s="10"/>
      <c r="H39" s="10"/>
      <c r="I39" s="97"/>
      <c r="J39" s="128"/>
    </row>
    <row r="40" spans="1:10" ht="17.25" customHeight="1">
      <c r="A40" s="43"/>
      <c r="B40" s="2"/>
      <c r="C40" s="96"/>
      <c r="D40" s="96"/>
      <c r="E40" s="9"/>
      <c r="F40" s="9"/>
      <c r="G40" s="10"/>
      <c r="H40" s="10"/>
      <c r="I40" s="97"/>
      <c r="J40" s="128"/>
    </row>
    <row r="41" spans="1:10" ht="27.75" customHeight="1">
      <c r="A41" s="2"/>
      <c r="B41" s="16" t="s">
        <v>4</v>
      </c>
      <c r="C41" s="55" t="s">
        <v>5</v>
      </c>
      <c r="D41" s="99" t="s">
        <v>6</v>
      </c>
      <c r="E41" s="56" t="s">
        <v>7</v>
      </c>
      <c r="F41" s="56" t="s">
        <v>8</v>
      </c>
      <c r="G41" s="16" t="s">
        <v>9</v>
      </c>
      <c r="H41" s="58" t="s">
        <v>11</v>
      </c>
      <c r="I41" s="59" t="s">
        <v>12</v>
      </c>
      <c r="J41" s="117"/>
    </row>
    <row r="42" spans="1:10" ht="15">
      <c r="A42" s="43"/>
      <c r="B42" s="65" t="s">
        <v>13</v>
      </c>
      <c r="C42" s="61">
        <v>4823114014840</v>
      </c>
      <c r="D42" s="61" t="s">
        <v>275</v>
      </c>
      <c r="E42" s="61">
        <f ca="1">IFERROR(__xludf.DUMMYFUNCTION("VLOOKUP(SPLIT(D42,"".""),SPLIT(D42,"".""),1)"),38108)</f>
        <v>38108</v>
      </c>
      <c r="F42" s="33" t="s">
        <v>276</v>
      </c>
      <c r="G42" s="63" t="s">
        <v>16</v>
      </c>
      <c r="H42" s="27">
        <v>43</v>
      </c>
      <c r="I42" s="64">
        <v>86</v>
      </c>
      <c r="J42" s="118"/>
    </row>
    <row r="43" spans="1:10" ht="15">
      <c r="A43" s="43"/>
      <c r="B43" s="65" t="s">
        <v>13</v>
      </c>
      <c r="C43" s="61">
        <v>4823114014833</v>
      </c>
      <c r="D43" s="61" t="s">
        <v>277</v>
      </c>
      <c r="E43" s="61">
        <f ca="1">IFERROR(__xludf.DUMMYFUNCTION("VLOOKUP(SPLIT(D43,"".""),SPLIT(D43,"".""),1)"),38109)</f>
        <v>38109</v>
      </c>
      <c r="F43" s="103" t="s">
        <v>276</v>
      </c>
      <c r="G43" s="63" t="s">
        <v>19</v>
      </c>
      <c r="H43" s="27">
        <v>43</v>
      </c>
      <c r="I43" s="64">
        <v>86</v>
      </c>
      <c r="J43" s="118"/>
    </row>
    <row r="44" spans="1:10" ht="17.25" customHeight="1">
      <c r="A44" s="43"/>
      <c r="B44" s="74"/>
      <c r="C44" s="131"/>
      <c r="D44" s="131"/>
      <c r="E44" s="75"/>
      <c r="F44" s="75"/>
      <c r="G44" s="76"/>
      <c r="H44" s="76"/>
      <c r="I44" s="127"/>
      <c r="J44" s="128"/>
    </row>
    <row r="45" spans="1:10" ht="17.25" customHeight="1">
      <c r="A45" s="43"/>
      <c r="B45" s="51" t="s">
        <v>79</v>
      </c>
      <c r="C45" s="96"/>
      <c r="D45" s="96"/>
      <c r="E45" s="9"/>
      <c r="F45" s="9"/>
      <c r="G45" s="10"/>
      <c r="H45" s="10"/>
      <c r="I45" s="97"/>
      <c r="J45" s="128"/>
    </row>
    <row r="46" spans="1:10" ht="17.25" customHeight="1">
      <c r="A46" s="43"/>
      <c r="B46" s="2"/>
      <c r="C46" s="96"/>
      <c r="D46" s="96"/>
      <c r="E46" s="9"/>
      <c r="F46" s="9"/>
      <c r="G46" s="10"/>
      <c r="H46" s="10"/>
      <c r="I46" s="97"/>
      <c r="J46" s="128"/>
    </row>
    <row r="47" spans="1:10" ht="27" customHeight="1">
      <c r="A47" s="13"/>
      <c r="B47" s="16" t="s">
        <v>4</v>
      </c>
      <c r="C47" s="55" t="s">
        <v>5</v>
      </c>
      <c r="D47" s="99" t="s">
        <v>6</v>
      </c>
      <c r="E47" s="100" t="s">
        <v>7</v>
      </c>
      <c r="F47" s="100" t="s">
        <v>8</v>
      </c>
      <c r="G47" s="101" t="s">
        <v>9</v>
      </c>
      <c r="H47" s="58" t="s">
        <v>11</v>
      </c>
      <c r="I47" s="59" t="s">
        <v>12</v>
      </c>
      <c r="J47" s="132"/>
    </row>
    <row r="48" spans="1:10" ht="15">
      <c r="A48" s="43"/>
      <c r="B48" s="60" t="s">
        <v>13</v>
      </c>
      <c r="C48" s="61">
        <v>4823114015335</v>
      </c>
      <c r="D48" s="61" t="s">
        <v>278</v>
      </c>
      <c r="E48" s="61">
        <f ca="1">IFERROR(__xludf.DUMMYFUNCTION("VLOOKUP(SPLIT(D48,"".""),SPLIT(D48,"".""),1)"),38194)</f>
        <v>38194</v>
      </c>
      <c r="F48" s="61" t="s">
        <v>279</v>
      </c>
      <c r="G48" s="63" t="s">
        <v>16</v>
      </c>
      <c r="H48" s="27">
        <v>43</v>
      </c>
      <c r="I48" s="64">
        <v>86</v>
      </c>
      <c r="J48" s="118"/>
    </row>
    <row r="49" spans="1:10" ht="15">
      <c r="A49" s="43"/>
      <c r="B49" s="65" t="s">
        <v>13</v>
      </c>
      <c r="C49" s="61">
        <v>4823114015328</v>
      </c>
      <c r="D49" s="61" t="s">
        <v>280</v>
      </c>
      <c r="E49" s="61">
        <f ca="1">IFERROR(__xludf.DUMMYFUNCTION("VLOOKUP(SPLIT(D49,"".""),SPLIT(D49,"".""),1)"),38193)</f>
        <v>38193</v>
      </c>
      <c r="F49" s="61" t="s">
        <v>279</v>
      </c>
      <c r="G49" s="63" t="s">
        <v>19</v>
      </c>
      <c r="H49" s="27">
        <v>43</v>
      </c>
      <c r="I49" s="64">
        <v>86</v>
      </c>
      <c r="J49" s="118"/>
    </row>
    <row r="50" spans="1:10" ht="15">
      <c r="A50" s="43"/>
      <c r="B50" s="65" t="s">
        <v>13</v>
      </c>
      <c r="C50" s="61">
        <v>4823114015281</v>
      </c>
      <c r="D50" s="61" t="s">
        <v>281</v>
      </c>
      <c r="E50" s="61">
        <f ca="1">IFERROR(__xludf.DUMMYFUNCTION("VLOOKUP(SPLIT(D50,"".""),SPLIT(D50,"".""),1)"),38199)</f>
        <v>38199</v>
      </c>
      <c r="F50" s="61" t="s">
        <v>282</v>
      </c>
      <c r="G50" s="63" t="s">
        <v>16</v>
      </c>
      <c r="H50" s="27">
        <v>59.54</v>
      </c>
      <c r="I50" s="64">
        <v>119.07</v>
      </c>
      <c r="J50" s="118"/>
    </row>
    <row r="51" spans="1:10" ht="15">
      <c r="A51" s="43"/>
      <c r="B51" s="65" t="s">
        <v>13</v>
      </c>
      <c r="C51" s="61">
        <v>4823114015274</v>
      </c>
      <c r="D51" s="61" t="s">
        <v>283</v>
      </c>
      <c r="E51" s="61">
        <f ca="1">IFERROR(__xludf.DUMMYFUNCTION("VLOOKUP(SPLIT(D51,"".""),SPLIT(D51,"".""),1)"),38198)</f>
        <v>38198</v>
      </c>
      <c r="F51" s="61" t="s">
        <v>282</v>
      </c>
      <c r="G51" s="63" t="s">
        <v>19</v>
      </c>
      <c r="H51" s="27">
        <v>59.54</v>
      </c>
      <c r="I51" s="64">
        <v>119.07</v>
      </c>
      <c r="J51" s="118"/>
    </row>
    <row r="52" spans="1:10" ht="15">
      <c r="A52" s="43"/>
      <c r="B52" s="60" t="s">
        <v>13</v>
      </c>
      <c r="C52" s="61">
        <v>4823114014963</v>
      </c>
      <c r="D52" s="61" t="s">
        <v>284</v>
      </c>
      <c r="E52" s="61">
        <f ca="1">IFERROR(__xludf.DUMMYFUNCTION("VLOOKUP(SPLIT(D52,"".""),SPLIT(D52,"".""),1)"),38096)</f>
        <v>38096</v>
      </c>
      <c r="F52" s="61" t="s">
        <v>285</v>
      </c>
      <c r="G52" s="63" t="s">
        <v>16</v>
      </c>
      <c r="H52" s="27">
        <v>59.54</v>
      </c>
      <c r="I52" s="64">
        <v>119.07</v>
      </c>
      <c r="J52" s="118"/>
    </row>
    <row r="53" spans="1:10" ht="15">
      <c r="A53" s="43"/>
      <c r="B53" s="65" t="s">
        <v>13</v>
      </c>
      <c r="C53" s="61">
        <v>4823114014956</v>
      </c>
      <c r="D53" s="61" t="s">
        <v>286</v>
      </c>
      <c r="E53" s="61">
        <f ca="1">IFERROR(__xludf.DUMMYFUNCTION("VLOOKUP(SPLIT(D53,"".""),SPLIT(D53,"".""),1)"),38097)</f>
        <v>38097</v>
      </c>
      <c r="F53" s="61" t="s">
        <v>285</v>
      </c>
      <c r="G53" s="63" t="s">
        <v>19</v>
      </c>
      <c r="H53" s="27">
        <v>59.54</v>
      </c>
      <c r="I53" s="64">
        <v>119.07</v>
      </c>
      <c r="J53" s="118"/>
    </row>
    <row r="54" spans="1:10" ht="15">
      <c r="A54" s="43"/>
      <c r="B54" s="65" t="s">
        <v>13</v>
      </c>
      <c r="C54" s="61">
        <v>4823114015298</v>
      </c>
      <c r="D54" s="61" t="s">
        <v>287</v>
      </c>
      <c r="E54" s="61">
        <f ca="1">IFERROR(__xludf.DUMMYFUNCTION("VLOOKUP(SPLIT(D54,"".""),SPLIT(D54,"".""),1)"),38197)</f>
        <v>38197</v>
      </c>
      <c r="F54" s="61" t="s">
        <v>288</v>
      </c>
      <c r="G54" s="63" t="s">
        <v>19</v>
      </c>
      <c r="H54" s="27">
        <v>149.94</v>
      </c>
      <c r="I54" s="64">
        <v>299.88</v>
      </c>
      <c r="J54" s="118"/>
    </row>
    <row r="55" spans="1:10" ht="15">
      <c r="A55" s="43"/>
      <c r="B55" s="65" t="s">
        <v>13</v>
      </c>
      <c r="C55" s="61">
        <v>4823114015342</v>
      </c>
      <c r="D55" s="61" t="s">
        <v>289</v>
      </c>
      <c r="E55" s="61">
        <f ca="1">IFERROR(__xludf.DUMMYFUNCTION("VLOOKUP(SPLIT(D55,"".""),SPLIT(D55,"".""),1)"),38192)</f>
        <v>38192</v>
      </c>
      <c r="F55" s="61" t="s">
        <v>290</v>
      </c>
      <c r="G55" s="63" t="s">
        <v>19</v>
      </c>
      <c r="H55" s="27">
        <v>176.4</v>
      </c>
      <c r="I55" s="64">
        <v>352.8</v>
      </c>
      <c r="J55" s="118"/>
    </row>
    <row r="56" spans="1:10" ht="15">
      <c r="A56" s="43"/>
      <c r="B56" s="65" t="s">
        <v>13</v>
      </c>
      <c r="C56" s="61">
        <v>4823114017513</v>
      </c>
      <c r="D56" s="61" t="s">
        <v>291</v>
      </c>
      <c r="E56" s="61">
        <f ca="1">IFERROR(__xludf.DUMMYFUNCTION("VLOOKUP(SPLIT(D56,"".""),SPLIT(D56,"".""),1)"),39293)</f>
        <v>39293</v>
      </c>
      <c r="F56" s="61" t="s">
        <v>292</v>
      </c>
      <c r="G56" s="63" t="s">
        <v>19</v>
      </c>
      <c r="H56" s="27">
        <v>194.04</v>
      </c>
      <c r="I56" s="64">
        <v>388.08</v>
      </c>
      <c r="J56" s="118"/>
    </row>
    <row r="57" spans="1:10" ht="15">
      <c r="A57" s="43"/>
      <c r="B57" s="133" t="s">
        <v>13</v>
      </c>
      <c r="C57" s="134" t="s">
        <v>293</v>
      </c>
      <c r="D57" s="135" t="s">
        <v>294</v>
      </c>
      <c r="E57" s="92">
        <f ca="1">IFERROR(__xludf.DUMMYFUNCTION("VLOOKUP(SPLIT(D57,"".""),SPLIT(D57,"".""),1)"),38216)</f>
        <v>38216</v>
      </c>
      <c r="F57" s="135" t="s">
        <v>295</v>
      </c>
      <c r="G57" s="136" t="s">
        <v>19</v>
      </c>
      <c r="H57" s="66">
        <v>8.82</v>
      </c>
      <c r="I57" s="67">
        <v>17.64</v>
      </c>
      <c r="J57" s="118"/>
    </row>
    <row r="58" spans="1:10" ht="15">
      <c r="A58" s="43"/>
      <c r="B58" s="137"/>
      <c r="C58" s="111" t="s">
        <v>296</v>
      </c>
      <c r="D58" s="34" t="s">
        <v>297</v>
      </c>
      <c r="E58" s="83">
        <f ca="1">IFERROR(__xludf.DUMMYFUNCTION("VLOOKUP(SPLIT(D58,"".""),SPLIT(D58,"".""),1)"),65855)</f>
        <v>65855</v>
      </c>
      <c r="F58" s="34" t="s">
        <v>298</v>
      </c>
      <c r="G58" s="35" t="s">
        <v>19</v>
      </c>
      <c r="H58" s="71">
        <v>5.08</v>
      </c>
      <c r="I58" s="72">
        <v>10.16</v>
      </c>
      <c r="J58" s="118"/>
    </row>
    <row r="59" spans="1:10" ht="15">
      <c r="A59" s="43"/>
      <c r="B59" s="23" t="s">
        <v>13</v>
      </c>
      <c r="C59" s="87">
        <v>4823114064197</v>
      </c>
      <c r="D59" s="87" t="s">
        <v>299</v>
      </c>
      <c r="E59" s="87">
        <v>99164</v>
      </c>
      <c r="F59" s="87" t="s">
        <v>300</v>
      </c>
      <c r="G59" s="88" t="s">
        <v>19</v>
      </c>
      <c r="H59" s="89">
        <v>235.55</v>
      </c>
      <c r="I59" s="89">
        <v>471.1</v>
      </c>
      <c r="J59" s="118"/>
    </row>
    <row r="60" spans="1:10" ht="15">
      <c r="A60" s="43"/>
      <c r="B60" s="23" t="s">
        <v>13</v>
      </c>
      <c r="C60" s="87">
        <v>4823114061639</v>
      </c>
      <c r="D60" s="87" t="s">
        <v>301</v>
      </c>
      <c r="E60" s="87">
        <v>101441</v>
      </c>
      <c r="F60" s="87" t="s">
        <v>302</v>
      </c>
      <c r="G60" s="88" t="s">
        <v>19</v>
      </c>
      <c r="H60" s="89">
        <v>112.67</v>
      </c>
      <c r="I60" s="89">
        <v>225.34</v>
      </c>
      <c r="J60" s="118"/>
    </row>
    <row r="61" spans="1:10" ht="15">
      <c r="A61" s="43"/>
      <c r="B61" s="65" t="s">
        <v>13</v>
      </c>
      <c r="C61" s="61">
        <v>4823114017353</v>
      </c>
      <c r="D61" s="61" t="s">
        <v>303</v>
      </c>
      <c r="E61" s="61">
        <f ca="1">IFERROR(__xludf.DUMMYFUNCTION("VLOOKUP(SPLIT(D61,"".""),SPLIT(D61,"".""),1)"),39055)</f>
        <v>39055</v>
      </c>
      <c r="F61" s="61" t="s">
        <v>304</v>
      </c>
      <c r="G61" s="63" t="s">
        <v>19</v>
      </c>
      <c r="H61" s="27">
        <v>152.15</v>
      </c>
      <c r="I61" s="64">
        <v>304.29000000000002</v>
      </c>
      <c r="J61" s="118"/>
    </row>
    <row r="62" spans="1:10" ht="15">
      <c r="A62" s="43"/>
      <c r="B62" s="138" t="s">
        <v>13</v>
      </c>
      <c r="C62" s="139">
        <v>4823114074325</v>
      </c>
      <c r="D62" s="139" t="s">
        <v>305</v>
      </c>
      <c r="E62" s="139">
        <v>130273</v>
      </c>
      <c r="F62" s="39" t="s">
        <v>306</v>
      </c>
      <c r="G62" s="46" t="s">
        <v>19</v>
      </c>
      <c r="H62" s="140">
        <v>76.17</v>
      </c>
      <c r="I62" s="141">
        <v>152.34</v>
      </c>
      <c r="J62" s="118"/>
    </row>
    <row r="63" spans="1:10" ht="15">
      <c r="A63" s="43"/>
      <c r="B63" s="138" t="s">
        <v>13</v>
      </c>
      <c r="C63" s="38">
        <v>4823114080128</v>
      </c>
      <c r="D63" s="38" t="s">
        <v>307</v>
      </c>
      <c r="E63" s="38">
        <v>142717</v>
      </c>
      <c r="F63" s="142" t="s">
        <v>308</v>
      </c>
      <c r="G63" s="46" t="s">
        <v>19</v>
      </c>
      <c r="H63" s="47">
        <v>235.55</v>
      </c>
      <c r="I63" s="47">
        <v>471.1</v>
      </c>
      <c r="J63" s="118"/>
    </row>
    <row r="64" spans="1:10" ht="15">
      <c r="A64" s="43"/>
      <c r="B64" s="65" t="s">
        <v>13</v>
      </c>
      <c r="C64" s="61">
        <v>4823114015311</v>
      </c>
      <c r="D64" s="61" t="s">
        <v>309</v>
      </c>
      <c r="E64" s="61">
        <f ca="1">IFERROR(__xludf.DUMMYFUNCTION("VLOOKUP(SPLIT(D64,"".""),SPLIT(D64,"".""),1)"),38196)</f>
        <v>38196</v>
      </c>
      <c r="F64" s="61" t="s">
        <v>310</v>
      </c>
      <c r="G64" s="63" t="s">
        <v>16</v>
      </c>
      <c r="H64" s="27">
        <v>50.72</v>
      </c>
      <c r="I64" s="64">
        <v>101.43</v>
      </c>
      <c r="J64" s="118"/>
    </row>
    <row r="65" spans="1:10" ht="15">
      <c r="A65" s="43"/>
      <c r="B65" s="65" t="s">
        <v>13</v>
      </c>
      <c r="C65" s="61">
        <v>4823114015304</v>
      </c>
      <c r="D65" s="61" t="s">
        <v>311</v>
      </c>
      <c r="E65" s="61">
        <f ca="1">IFERROR(__xludf.DUMMYFUNCTION("VLOOKUP(SPLIT(D65,"".""),SPLIT(D65,"".""),1)"),38195)</f>
        <v>38195</v>
      </c>
      <c r="F65" s="61" t="s">
        <v>310</v>
      </c>
      <c r="G65" s="63" t="s">
        <v>19</v>
      </c>
      <c r="H65" s="27">
        <v>50.72</v>
      </c>
      <c r="I65" s="64">
        <v>101.43</v>
      </c>
      <c r="J65" s="118"/>
    </row>
    <row r="66" spans="1:10" ht="15" hidden="1">
      <c r="A66" s="43"/>
      <c r="B66" s="126" t="s">
        <v>13</v>
      </c>
      <c r="C66" s="61">
        <v>4823114015366</v>
      </c>
      <c r="D66" s="61" t="s">
        <v>312</v>
      </c>
      <c r="E66" s="61">
        <f ca="1">IFERROR(__xludf.DUMMYFUNCTION("VLOOKUP(SPLIT(D66,"".""),SPLIT(D66,"".""),1)"),38191)</f>
        <v>38191</v>
      </c>
      <c r="F66" s="61" t="s">
        <v>313</v>
      </c>
      <c r="G66" s="63" t="s">
        <v>16</v>
      </c>
      <c r="H66" s="27">
        <v>98.12</v>
      </c>
      <c r="I66" s="64">
        <v>196.25</v>
      </c>
      <c r="J66" s="118"/>
    </row>
    <row r="67" spans="1:10" ht="15" hidden="1">
      <c r="A67" s="43"/>
      <c r="B67" s="126" t="s">
        <v>13</v>
      </c>
      <c r="C67" s="61">
        <v>4823114015359</v>
      </c>
      <c r="D67" s="61" t="s">
        <v>314</v>
      </c>
      <c r="E67" s="61">
        <f ca="1">IFERROR(__xludf.DUMMYFUNCTION("VLOOKUP(SPLIT(D67,"".""),SPLIT(D67,"".""),1)"),38190)</f>
        <v>38190</v>
      </c>
      <c r="F67" s="61" t="s">
        <v>313</v>
      </c>
      <c r="G67" s="63" t="s">
        <v>19</v>
      </c>
      <c r="H67" s="27">
        <v>98.12</v>
      </c>
      <c r="I67" s="64">
        <v>196.25</v>
      </c>
      <c r="J67" s="118"/>
    </row>
    <row r="68" spans="1:10" ht="15" hidden="1">
      <c r="A68" s="43"/>
      <c r="B68" s="126" t="s">
        <v>13</v>
      </c>
      <c r="C68" s="61">
        <v>4823114017537</v>
      </c>
      <c r="D68" s="61" t="s">
        <v>315</v>
      </c>
      <c r="E68" s="61">
        <f ca="1">IFERROR(__xludf.DUMMYFUNCTION("VLOOKUP(SPLIT(D68,"".""),SPLIT(D68,"".""),1)"),39289)</f>
        <v>39289</v>
      </c>
      <c r="F68" s="61" t="s">
        <v>316</v>
      </c>
      <c r="G68" s="63" t="s">
        <v>16</v>
      </c>
      <c r="H68" s="27">
        <v>107.94</v>
      </c>
      <c r="I68" s="64">
        <v>215.87</v>
      </c>
      <c r="J68" s="118"/>
    </row>
    <row r="69" spans="1:10" ht="15" hidden="1">
      <c r="A69" s="43"/>
      <c r="B69" s="126" t="s">
        <v>13</v>
      </c>
      <c r="C69" s="61">
        <v>4823114017520</v>
      </c>
      <c r="D69" s="61" t="s">
        <v>317</v>
      </c>
      <c r="E69" s="61">
        <f ca="1">IFERROR(__xludf.DUMMYFUNCTION("VLOOKUP(SPLIT(D69,"".""),SPLIT(D69,"".""),1)"),39290)</f>
        <v>39290</v>
      </c>
      <c r="F69" s="61" t="s">
        <v>316</v>
      </c>
      <c r="G69" s="63" t="s">
        <v>19</v>
      </c>
      <c r="H69" s="27">
        <v>107.94</v>
      </c>
      <c r="I69" s="64">
        <v>215.87</v>
      </c>
      <c r="J69" s="79"/>
    </row>
    <row r="70" spans="1:10" ht="15">
      <c r="A70" s="43"/>
      <c r="B70" s="65" t="s">
        <v>13</v>
      </c>
      <c r="C70" s="61">
        <v>4823114068126</v>
      </c>
      <c r="D70" s="61" t="s">
        <v>318</v>
      </c>
      <c r="E70" s="61">
        <f ca="1">IFERROR(__xludf.DUMMYFUNCTION("VLOOKUP(SPLIT(D70,"".""),SPLIT(D70,"".""),1)"),117743)</f>
        <v>117743</v>
      </c>
      <c r="F70" s="61" t="s">
        <v>319</v>
      </c>
      <c r="G70" s="63" t="s">
        <v>16</v>
      </c>
      <c r="H70" s="27">
        <v>98.12</v>
      </c>
      <c r="I70" s="64">
        <v>196.25</v>
      </c>
      <c r="J70" s="79"/>
    </row>
    <row r="71" spans="1:10" ht="15">
      <c r="A71" s="43"/>
      <c r="B71" s="65" t="s">
        <v>13</v>
      </c>
      <c r="C71" s="61">
        <v>4823114068133</v>
      </c>
      <c r="D71" s="61" t="s">
        <v>320</v>
      </c>
      <c r="E71" s="61">
        <f ca="1">IFERROR(__xludf.DUMMYFUNCTION("VLOOKUP(SPLIT(D71,"".""),SPLIT(D71,"".""),1)"),117744)</f>
        <v>117744</v>
      </c>
      <c r="F71" s="61" t="s">
        <v>319</v>
      </c>
      <c r="G71" s="63" t="s">
        <v>19</v>
      </c>
      <c r="H71" s="27">
        <v>98.12</v>
      </c>
      <c r="I71" s="64">
        <v>196.25</v>
      </c>
      <c r="J71" s="79"/>
    </row>
    <row r="72" spans="1:10" ht="15">
      <c r="A72" s="43"/>
      <c r="B72" s="65" t="s">
        <v>13</v>
      </c>
      <c r="C72" s="61">
        <v>4823114068706</v>
      </c>
      <c r="D72" s="61" t="s">
        <v>321</v>
      </c>
      <c r="E72" s="61">
        <f ca="1">IFERROR(__xludf.DUMMYFUNCTION("VLOOKUP(SPLIT(D72,"".""),SPLIT(D72,"".""),1)"),119281)</f>
        <v>119281</v>
      </c>
      <c r="F72" s="61" t="s">
        <v>322</v>
      </c>
      <c r="G72" s="63" t="s">
        <v>16</v>
      </c>
      <c r="H72" s="27">
        <v>107.94</v>
      </c>
      <c r="I72" s="64">
        <v>215.87</v>
      </c>
      <c r="J72" s="79"/>
    </row>
    <row r="73" spans="1:10" ht="15">
      <c r="A73" s="43"/>
      <c r="B73" s="65" t="s">
        <v>13</v>
      </c>
      <c r="C73" s="61">
        <v>4823114068713</v>
      </c>
      <c r="D73" s="61" t="s">
        <v>323</v>
      </c>
      <c r="E73" s="61">
        <f ca="1">IFERROR(__xludf.DUMMYFUNCTION("VLOOKUP(SPLIT(D73,"".""),SPLIT(D73,"".""),1)"),119282)</f>
        <v>119282</v>
      </c>
      <c r="F73" s="61" t="s">
        <v>322</v>
      </c>
      <c r="G73" s="63" t="s">
        <v>19</v>
      </c>
      <c r="H73" s="27">
        <v>107.94</v>
      </c>
      <c r="I73" s="64">
        <v>215.87</v>
      </c>
      <c r="J73" s="79"/>
    </row>
    <row r="74" spans="1:10" ht="17.25" customHeight="1">
      <c r="A74" s="43"/>
      <c r="B74" s="74"/>
      <c r="C74" s="131"/>
      <c r="D74" s="131"/>
      <c r="E74" s="75"/>
      <c r="F74" s="75"/>
      <c r="G74" s="76"/>
      <c r="H74" s="76"/>
      <c r="I74" s="127"/>
      <c r="J74" s="98"/>
    </row>
    <row r="75" spans="1:10" ht="17.25" customHeight="1">
      <c r="A75" s="43"/>
      <c r="B75" s="51" t="s">
        <v>324</v>
      </c>
      <c r="C75" s="96"/>
      <c r="D75" s="96"/>
      <c r="E75" s="9"/>
      <c r="F75" s="9"/>
      <c r="G75" s="10"/>
      <c r="H75" s="10"/>
      <c r="I75" s="97"/>
      <c r="J75" s="98"/>
    </row>
    <row r="76" spans="1:10" ht="17.25" customHeight="1">
      <c r="A76" s="43"/>
      <c r="B76" s="2"/>
      <c r="C76" s="96"/>
      <c r="D76" s="96"/>
      <c r="E76" s="9"/>
      <c r="F76" s="9"/>
      <c r="G76" s="10"/>
      <c r="H76" s="10"/>
      <c r="I76" s="97"/>
      <c r="J76" s="98"/>
    </row>
    <row r="77" spans="1:10" ht="29.25" customHeight="1">
      <c r="A77" s="13"/>
      <c r="B77" s="16" t="s">
        <v>4</v>
      </c>
      <c r="C77" s="55" t="s">
        <v>5</v>
      </c>
      <c r="D77" s="99" t="s">
        <v>6</v>
      </c>
      <c r="E77" s="100" t="s">
        <v>7</v>
      </c>
      <c r="F77" s="100" t="s">
        <v>8</v>
      </c>
      <c r="G77" s="101" t="s">
        <v>9</v>
      </c>
      <c r="H77" s="58" t="s">
        <v>11</v>
      </c>
      <c r="I77" s="59" t="s">
        <v>12</v>
      </c>
      <c r="J77" s="143"/>
    </row>
    <row r="78" spans="1:10" ht="15">
      <c r="A78" s="43"/>
      <c r="B78" s="60" t="s">
        <v>13</v>
      </c>
      <c r="C78" s="61">
        <v>4823114015113</v>
      </c>
      <c r="D78" s="61" t="s">
        <v>325</v>
      </c>
      <c r="E78" s="61">
        <f ca="1">IFERROR(__xludf.DUMMYFUNCTION("VLOOKUP(SPLIT(D78,"".""),SPLIT(D78,"".""),1)"),38248)</f>
        <v>38248</v>
      </c>
      <c r="F78" s="61" t="s">
        <v>326</v>
      </c>
      <c r="G78" s="63" t="s">
        <v>16</v>
      </c>
      <c r="H78" s="27">
        <v>67.25</v>
      </c>
      <c r="I78" s="64">
        <v>134.51</v>
      </c>
      <c r="J78" s="79"/>
    </row>
    <row r="79" spans="1:10" ht="15">
      <c r="A79" s="43"/>
      <c r="B79" s="65" t="s">
        <v>13</v>
      </c>
      <c r="C79" s="61">
        <v>4823114015106</v>
      </c>
      <c r="D79" s="61" t="s">
        <v>327</v>
      </c>
      <c r="E79" s="61">
        <f ca="1">IFERROR(__xludf.DUMMYFUNCTION("VLOOKUP(SPLIT(D79,"".""),SPLIT(D79,"".""),1)"),38249)</f>
        <v>38249</v>
      </c>
      <c r="F79" s="61" t="s">
        <v>326</v>
      </c>
      <c r="G79" s="63" t="s">
        <v>19</v>
      </c>
      <c r="H79" s="27">
        <v>67.25</v>
      </c>
      <c r="I79" s="64">
        <v>134.51</v>
      </c>
      <c r="J79" s="79"/>
    </row>
    <row r="80" spans="1:10" ht="15">
      <c r="A80" s="43"/>
      <c r="B80" s="65" t="s">
        <v>13</v>
      </c>
      <c r="C80" s="61">
        <v>4823114015403</v>
      </c>
      <c r="D80" s="61" t="s">
        <v>328</v>
      </c>
      <c r="E80" s="61">
        <f ca="1">IFERROR(__xludf.DUMMYFUNCTION("VLOOKUP(SPLIT(D80,"".""),SPLIT(D80,"".""),1)"),38252)</f>
        <v>38252</v>
      </c>
      <c r="F80" s="61" t="s">
        <v>329</v>
      </c>
      <c r="G80" s="63" t="s">
        <v>16</v>
      </c>
      <c r="H80" s="27">
        <v>86</v>
      </c>
      <c r="I80" s="64">
        <v>171.99</v>
      </c>
      <c r="J80" s="79"/>
    </row>
    <row r="81" spans="1:10" ht="15">
      <c r="A81" s="43"/>
      <c r="B81" s="65" t="s">
        <v>13</v>
      </c>
      <c r="C81" s="61">
        <v>4823114015397</v>
      </c>
      <c r="D81" s="61" t="s">
        <v>330</v>
      </c>
      <c r="E81" s="61">
        <f ca="1">IFERROR(__xludf.DUMMYFUNCTION("VLOOKUP(SPLIT(D81,"".""),SPLIT(D81,"".""),1)"),38253)</f>
        <v>38253</v>
      </c>
      <c r="F81" s="61" t="s">
        <v>329</v>
      </c>
      <c r="G81" s="63" t="s">
        <v>19</v>
      </c>
      <c r="H81" s="27">
        <v>86</v>
      </c>
      <c r="I81" s="64">
        <v>171.99</v>
      </c>
      <c r="J81" s="79"/>
    </row>
    <row r="82" spans="1:10" ht="15">
      <c r="A82" s="43"/>
      <c r="B82" s="65" t="s">
        <v>13</v>
      </c>
      <c r="C82" s="61">
        <v>4823114039720</v>
      </c>
      <c r="D82" s="61" t="s">
        <v>331</v>
      </c>
      <c r="E82" s="61">
        <f ca="1">IFERROR(__xludf.DUMMYFUNCTION("VLOOKUP(SPLIT(D82,"".""),SPLIT(D82,"".""),1)"),58454)</f>
        <v>58454</v>
      </c>
      <c r="F82" s="61" t="s">
        <v>332</v>
      </c>
      <c r="G82" s="63" t="s">
        <v>16</v>
      </c>
      <c r="H82" s="27">
        <v>206.95</v>
      </c>
      <c r="I82" s="28">
        <v>413.91</v>
      </c>
      <c r="J82" s="79"/>
    </row>
    <row r="83" spans="1:10" ht="15">
      <c r="A83" s="43"/>
      <c r="B83" s="65" t="s">
        <v>13</v>
      </c>
      <c r="C83" s="61">
        <v>4823114039737</v>
      </c>
      <c r="D83" s="61" t="s">
        <v>333</v>
      </c>
      <c r="E83" s="61">
        <f ca="1">IFERROR(__xludf.DUMMYFUNCTION("VLOOKUP(SPLIT(D83,"".""),SPLIT(D83,"".""),1)"),58455)</f>
        <v>58455</v>
      </c>
      <c r="F83" s="61" t="s">
        <v>332</v>
      </c>
      <c r="G83" s="63" t="s">
        <v>19</v>
      </c>
      <c r="H83" s="27">
        <v>206.95</v>
      </c>
      <c r="I83" s="28">
        <v>413.91</v>
      </c>
      <c r="J83" s="79"/>
    </row>
    <row r="84" spans="1:10" ht="15">
      <c r="A84" s="43"/>
      <c r="B84" s="65" t="s">
        <v>13</v>
      </c>
      <c r="C84" s="24">
        <v>4823114074554</v>
      </c>
      <c r="D84" s="25" t="s">
        <v>334</v>
      </c>
      <c r="E84" s="24">
        <v>99968</v>
      </c>
      <c r="F84" s="25" t="s">
        <v>335</v>
      </c>
      <c r="G84" s="26" t="s">
        <v>16</v>
      </c>
      <c r="H84" s="27">
        <v>106.17</v>
      </c>
      <c r="I84" s="28">
        <v>212.34</v>
      </c>
      <c r="J84" s="79"/>
    </row>
    <row r="85" spans="1:10" ht="15">
      <c r="A85" s="43"/>
      <c r="B85" s="65" t="s">
        <v>13</v>
      </c>
      <c r="C85" s="24">
        <v>4823114074547</v>
      </c>
      <c r="D85" s="25" t="s">
        <v>336</v>
      </c>
      <c r="E85" s="24">
        <v>99967</v>
      </c>
      <c r="F85" s="25" t="s">
        <v>335</v>
      </c>
      <c r="G85" s="26" t="s">
        <v>19</v>
      </c>
      <c r="H85" s="27">
        <v>106.17</v>
      </c>
      <c r="I85" s="28">
        <v>212.34</v>
      </c>
      <c r="J85" s="79"/>
    </row>
    <row r="86" spans="1:10" ht="15">
      <c r="A86" s="43"/>
      <c r="B86" s="65" t="s">
        <v>13</v>
      </c>
      <c r="C86" s="24">
        <v>4823114074561</v>
      </c>
      <c r="D86" s="25" t="s">
        <v>337</v>
      </c>
      <c r="E86" s="24">
        <v>99969</v>
      </c>
      <c r="F86" s="25" t="s">
        <v>335</v>
      </c>
      <c r="G86" s="35" t="s">
        <v>148</v>
      </c>
      <c r="H86" s="27">
        <v>106.17</v>
      </c>
      <c r="I86" s="28">
        <v>212.34</v>
      </c>
      <c r="J86" s="79"/>
    </row>
    <row r="87" spans="1:10" ht="15">
      <c r="A87" s="43"/>
      <c r="B87" s="65" t="s">
        <v>13</v>
      </c>
      <c r="C87" s="61">
        <v>4823114015564</v>
      </c>
      <c r="D87" s="61" t="s">
        <v>338</v>
      </c>
      <c r="E87" s="61">
        <f ca="1">IFERROR(__xludf.DUMMYFUNCTION("VLOOKUP(SPLIT(D87,"".""),SPLIT(D87,"".""),1)"),38220)</f>
        <v>38220</v>
      </c>
      <c r="F87" s="61" t="s">
        <v>339</v>
      </c>
      <c r="G87" s="63" t="s">
        <v>16</v>
      </c>
      <c r="H87" s="27">
        <v>12.68</v>
      </c>
      <c r="I87" s="64">
        <v>25.36</v>
      </c>
      <c r="J87" s="79"/>
    </row>
    <row r="88" spans="1:10" ht="15">
      <c r="A88" s="43"/>
      <c r="B88" s="65" t="s">
        <v>13</v>
      </c>
      <c r="C88" s="61">
        <v>4823114015557</v>
      </c>
      <c r="D88" s="61" t="s">
        <v>340</v>
      </c>
      <c r="E88" s="61">
        <f ca="1">IFERROR(__xludf.DUMMYFUNCTION("VLOOKUP(SPLIT(D88,"".""),SPLIT(D88,"".""),1)"),38224)</f>
        <v>38224</v>
      </c>
      <c r="F88" s="61" t="s">
        <v>339</v>
      </c>
      <c r="G88" s="63" t="s">
        <v>19</v>
      </c>
      <c r="H88" s="27">
        <v>12.68</v>
      </c>
      <c r="I88" s="64">
        <v>25.36</v>
      </c>
      <c r="J88" s="79"/>
    </row>
    <row r="89" spans="1:10" ht="15">
      <c r="A89" s="43"/>
      <c r="B89" s="65" t="s">
        <v>13</v>
      </c>
      <c r="C89" s="61">
        <v>4823114015588</v>
      </c>
      <c r="D89" s="61" t="s">
        <v>341</v>
      </c>
      <c r="E89" s="61">
        <f ca="1">IFERROR(__xludf.DUMMYFUNCTION("VLOOKUP(SPLIT(D89,"".""),SPLIT(D89,"".""),1)"),38218)</f>
        <v>38218</v>
      </c>
      <c r="F89" s="61" t="s">
        <v>342</v>
      </c>
      <c r="G89" s="63" t="s">
        <v>16</v>
      </c>
      <c r="H89" s="27">
        <v>40.24</v>
      </c>
      <c r="I89" s="64">
        <v>80.48</v>
      </c>
      <c r="J89" s="79"/>
    </row>
    <row r="90" spans="1:10" ht="15">
      <c r="A90" s="43"/>
      <c r="B90" s="65" t="s">
        <v>13</v>
      </c>
      <c r="C90" s="61">
        <v>4823114015571</v>
      </c>
      <c r="D90" s="61" t="s">
        <v>343</v>
      </c>
      <c r="E90" s="61">
        <f ca="1">IFERROR(__xludf.DUMMYFUNCTION("VLOOKUP(SPLIT(D90,"".""),SPLIT(D90,"".""),1)"),38222)</f>
        <v>38222</v>
      </c>
      <c r="F90" s="61" t="s">
        <v>342</v>
      </c>
      <c r="G90" s="63" t="s">
        <v>19</v>
      </c>
      <c r="H90" s="27">
        <v>40.24</v>
      </c>
      <c r="I90" s="64">
        <v>80.48</v>
      </c>
      <c r="J90" s="79"/>
    </row>
    <row r="91" spans="1:10" ht="15">
      <c r="A91" s="43"/>
      <c r="B91" s="65" t="s">
        <v>13</v>
      </c>
      <c r="C91" s="61">
        <v>4823114015601</v>
      </c>
      <c r="D91" s="61" t="s">
        <v>344</v>
      </c>
      <c r="E91" s="61">
        <f ca="1">IFERROR(__xludf.DUMMYFUNCTION("VLOOKUP(SPLIT(D91,"".""),SPLIT(D91,"".""),1)"),38217)</f>
        <v>38217</v>
      </c>
      <c r="F91" s="61" t="s">
        <v>345</v>
      </c>
      <c r="G91" s="63" t="s">
        <v>16</v>
      </c>
      <c r="H91" s="27">
        <v>350.04</v>
      </c>
      <c r="I91" s="64">
        <v>700.09</v>
      </c>
      <c r="J91" s="79"/>
    </row>
    <row r="92" spans="1:10" ht="15">
      <c r="A92" s="43"/>
      <c r="B92" s="65" t="s">
        <v>13</v>
      </c>
      <c r="C92" s="61">
        <v>4823114015595</v>
      </c>
      <c r="D92" s="61" t="s">
        <v>346</v>
      </c>
      <c r="E92" s="61">
        <f ca="1">IFERROR(__xludf.DUMMYFUNCTION("VLOOKUP(SPLIT(D92,"".""),SPLIT(D92,"".""),1)"),38221)</f>
        <v>38221</v>
      </c>
      <c r="F92" s="61" t="s">
        <v>345</v>
      </c>
      <c r="G92" s="63" t="s">
        <v>19</v>
      </c>
      <c r="H92" s="27">
        <v>350.04</v>
      </c>
      <c r="I92" s="64">
        <v>700.09</v>
      </c>
      <c r="J92" s="79"/>
    </row>
    <row r="93" spans="1:10" ht="15">
      <c r="A93" s="43"/>
      <c r="B93" s="65" t="s">
        <v>13</v>
      </c>
      <c r="C93" s="61">
        <v>4823114015502</v>
      </c>
      <c r="D93" s="61" t="s">
        <v>347</v>
      </c>
      <c r="E93" s="61">
        <f ca="1">IFERROR(__xludf.DUMMYFUNCTION("VLOOKUP(SPLIT(D93,"".""),SPLIT(D93,"".""),1)"),38228)</f>
        <v>38228</v>
      </c>
      <c r="F93" s="61" t="s">
        <v>348</v>
      </c>
      <c r="G93" s="63" t="s">
        <v>16</v>
      </c>
      <c r="H93" s="27">
        <v>12.68</v>
      </c>
      <c r="I93" s="64">
        <v>25.36</v>
      </c>
      <c r="J93" s="79"/>
    </row>
    <row r="94" spans="1:10" ht="15">
      <c r="A94" s="43"/>
      <c r="B94" s="65" t="s">
        <v>13</v>
      </c>
      <c r="C94" s="61">
        <v>4823114015496</v>
      </c>
      <c r="D94" s="61" t="s">
        <v>349</v>
      </c>
      <c r="E94" s="61">
        <f ca="1">IFERROR(__xludf.DUMMYFUNCTION("VLOOKUP(SPLIT(D94,"".""),SPLIT(D94,"".""),1)"),38232)</f>
        <v>38232</v>
      </c>
      <c r="F94" s="61" t="s">
        <v>348</v>
      </c>
      <c r="G94" s="63" t="s">
        <v>19</v>
      </c>
      <c r="H94" s="27">
        <v>12.68</v>
      </c>
      <c r="I94" s="64">
        <v>25.36</v>
      </c>
      <c r="J94" s="79"/>
    </row>
    <row r="95" spans="1:10" ht="15">
      <c r="A95" s="43"/>
      <c r="B95" s="65" t="s">
        <v>13</v>
      </c>
      <c r="C95" s="61">
        <v>4823114015526</v>
      </c>
      <c r="D95" s="61" t="s">
        <v>350</v>
      </c>
      <c r="E95" s="61">
        <f ca="1">IFERROR(__xludf.DUMMYFUNCTION("VLOOKUP(SPLIT(D95,"".""),SPLIT(D95,"".""),1)"),38226)</f>
        <v>38226</v>
      </c>
      <c r="F95" s="61" t="s">
        <v>351</v>
      </c>
      <c r="G95" s="63" t="s">
        <v>16</v>
      </c>
      <c r="H95" s="27">
        <v>43</v>
      </c>
      <c r="I95" s="64">
        <v>86</v>
      </c>
      <c r="J95" s="79"/>
    </row>
    <row r="96" spans="1:10" ht="15">
      <c r="A96" s="43"/>
      <c r="B96" s="65" t="s">
        <v>13</v>
      </c>
      <c r="C96" s="61">
        <v>4823114015519</v>
      </c>
      <c r="D96" s="61" t="s">
        <v>352</v>
      </c>
      <c r="E96" s="61">
        <f ca="1">IFERROR(__xludf.DUMMYFUNCTION("VLOOKUP(SPLIT(D96,"".""),SPLIT(D96,"".""),1)"),38230)</f>
        <v>38230</v>
      </c>
      <c r="F96" s="61" t="s">
        <v>351</v>
      </c>
      <c r="G96" s="63" t="s">
        <v>19</v>
      </c>
      <c r="H96" s="27">
        <v>43</v>
      </c>
      <c r="I96" s="64">
        <v>86</v>
      </c>
      <c r="J96" s="79"/>
    </row>
    <row r="97" spans="1:10" ht="15">
      <c r="A97" s="43"/>
      <c r="B97" s="65" t="s">
        <v>13</v>
      </c>
      <c r="C97" s="61">
        <v>4823114015540</v>
      </c>
      <c r="D97" s="61" t="s">
        <v>353</v>
      </c>
      <c r="E97" s="61">
        <f ca="1">IFERROR(__xludf.DUMMYFUNCTION("VLOOKUP(SPLIT(D97,"".""),SPLIT(D97,"".""),1)"),38225)</f>
        <v>38225</v>
      </c>
      <c r="F97" s="61" t="s">
        <v>354</v>
      </c>
      <c r="G97" s="63" t="s">
        <v>16</v>
      </c>
      <c r="H97" s="27">
        <v>396.35</v>
      </c>
      <c r="I97" s="64">
        <v>792.7</v>
      </c>
      <c r="J97" s="79"/>
    </row>
    <row r="98" spans="1:10" ht="15">
      <c r="A98" s="43"/>
      <c r="B98" s="65" t="s">
        <v>13</v>
      </c>
      <c r="C98" s="61">
        <v>4823114015533</v>
      </c>
      <c r="D98" s="61" t="s">
        <v>355</v>
      </c>
      <c r="E98" s="61">
        <f ca="1">IFERROR(__xludf.DUMMYFUNCTION("VLOOKUP(SPLIT(D98,"".""),SPLIT(D98,"".""),1)"),38229)</f>
        <v>38229</v>
      </c>
      <c r="F98" s="61" t="s">
        <v>354</v>
      </c>
      <c r="G98" s="63" t="s">
        <v>19</v>
      </c>
      <c r="H98" s="27">
        <v>396.35</v>
      </c>
      <c r="I98" s="64">
        <v>792.7</v>
      </c>
      <c r="J98" s="79"/>
    </row>
    <row r="99" spans="1:10" ht="17.25" customHeight="1">
      <c r="A99" s="43"/>
      <c r="B99" s="65" t="s">
        <v>13</v>
      </c>
      <c r="C99" s="61">
        <v>4823114014987</v>
      </c>
      <c r="D99" s="61" t="s">
        <v>356</v>
      </c>
      <c r="E99" s="61">
        <f ca="1">IFERROR(__xludf.DUMMYFUNCTION("VLOOKUP(SPLIT(D99,"".""),SPLIT(D99,"".""),1)"),38094)</f>
        <v>38094</v>
      </c>
      <c r="F99" s="61" t="s">
        <v>357</v>
      </c>
      <c r="G99" s="63" t="s">
        <v>16</v>
      </c>
      <c r="H99" s="27">
        <v>20.95</v>
      </c>
      <c r="I99" s="64">
        <v>41.9</v>
      </c>
      <c r="J99" s="79"/>
    </row>
    <row r="100" spans="1:10" ht="15">
      <c r="A100" s="43"/>
      <c r="B100" s="65" t="s">
        <v>13</v>
      </c>
      <c r="C100" s="61">
        <v>4823114014970</v>
      </c>
      <c r="D100" s="61" t="s">
        <v>358</v>
      </c>
      <c r="E100" s="61">
        <f ca="1">IFERROR(__xludf.DUMMYFUNCTION("VLOOKUP(SPLIT(D100,"".""),SPLIT(D100,"".""),1)"),38095)</f>
        <v>38095</v>
      </c>
      <c r="F100" s="61" t="s">
        <v>357</v>
      </c>
      <c r="G100" s="63" t="s">
        <v>19</v>
      </c>
      <c r="H100" s="27">
        <v>20.95</v>
      </c>
      <c r="I100" s="64">
        <v>41.9</v>
      </c>
      <c r="J100" s="79"/>
    </row>
    <row r="101" spans="1:10" ht="15">
      <c r="A101" s="43"/>
      <c r="B101" s="65" t="s">
        <v>13</v>
      </c>
      <c r="C101" s="61">
        <v>4823114014901</v>
      </c>
      <c r="D101" s="61" t="s">
        <v>359</v>
      </c>
      <c r="E101" s="61">
        <f ca="1">IFERROR(__xludf.DUMMYFUNCTION("VLOOKUP(SPLIT(D101,"".""),SPLIT(D101,"".""),1)"),38102)</f>
        <v>38102</v>
      </c>
      <c r="F101" s="61" t="s">
        <v>360</v>
      </c>
      <c r="G101" s="63" t="s">
        <v>16</v>
      </c>
      <c r="H101" s="27">
        <v>20.95</v>
      </c>
      <c r="I101" s="64">
        <v>41.9</v>
      </c>
      <c r="J101" s="79"/>
    </row>
    <row r="102" spans="1:10" ht="15">
      <c r="A102" s="43"/>
      <c r="B102" s="65" t="s">
        <v>13</v>
      </c>
      <c r="C102" s="61">
        <v>4823114014895</v>
      </c>
      <c r="D102" s="61" t="s">
        <v>361</v>
      </c>
      <c r="E102" s="61">
        <f ca="1">IFERROR(__xludf.DUMMYFUNCTION("VLOOKUP(SPLIT(D102,"".""),SPLIT(D102,"".""),1)"),38103)</f>
        <v>38103</v>
      </c>
      <c r="F102" s="61" t="s">
        <v>360</v>
      </c>
      <c r="G102" s="63" t="s">
        <v>19</v>
      </c>
      <c r="H102" s="27">
        <v>20.95</v>
      </c>
      <c r="I102" s="64">
        <v>41.9</v>
      </c>
      <c r="J102" s="79"/>
    </row>
    <row r="103" spans="1:10" ht="15">
      <c r="A103" s="43"/>
      <c r="B103" s="65" t="s">
        <v>13</v>
      </c>
      <c r="C103" s="61">
        <v>4823114015014</v>
      </c>
      <c r="D103" s="144" t="s">
        <v>362</v>
      </c>
      <c r="E103" s="61">
        <f ca="1">IFERROR(__xludf.DUMMYFUNCTION("VLOOKUP(SPLIT(D103,"".""),SPLIT(D103,"".""),1)"),38214)</f>
        <v>38214</v>
      </c>
      <c r="F103" s="61" t="s">
        <v>363</v>
      </c>
      <c r="G103" s="63" t="s">
        <v>16</v>
      </c>
      <c r="H103" s="27">
        <v>3.53</v>
      </c>
      <c r="I103" s="64">
        <v>6.62</v>
      </c>
      <c r="J103" s="79"/>
    </row>
    <row r="104" spans="1:10" ht="15">
      <c r="A104" s="43"/>
      <c r="B104" s="65" t="s">
        <v>13</v>
      </c>
      <c r="C104" s="61">
        <v>4823114015007</v>
      </c>
      <c r="D104" s="61" t="s">
        <v>364</v>
      </c>
      <c r="E104" s="61">
        <f ca="1">IFERROR(__xludf.DUMMYFUNCTION("VLOOKUP(SPLIT(D104,"".""),SPLIT(D104,"".""),1)"),38215)</f>
        <v>38215</v>
      </c>
      <c r="F104" s="61" t="s">
        <v>363</v>
      </c>
      <c r="G104" s="63" t="s">
        <v>19</v>
      </c>
      <c r="H104" s="27">
        <v>3.53</v>
      </c>
      <c r="I104" s="64">
        <v>6.62</v>
      </c>
      <c r="J104" s="79"/>
    </row>
    <row r="105" spans="1:10" ht="15">
      <c r="A105" s="43"/>
      <c r="B105" s="65" t="s">
        <v>13</v>
      </c>
      <c r="C105" s="61">
        <v>4823114015786</v>
      </c>
      <c r="D105" s="61" t="s">
        <v>365</v>
      </c>
      <c r="E105" s="61">
        <f ca="1">IFERROR(__xludf.DUMMYFUNCTION("VLOOKUP(SPLIT(D105,"".""),SPLIT(D105,"".""),1)"),38167)</f>
        <v>38167</v>
      </c>
      <c r="F105" s="61" t="s">
        <v>366</v>
      </c>
      <c r="G105" s="63" t="s">
        <v>16</v>
      </c>
      <c r="H105" s="27">
        <v>20.95</v>
      </c>
      <c r="I105" s="64">
        <v>41.9</v>
      </c>
      <c r="J105" s="79"/>
    </row>
    <row r="106" spans="1:10" ht="15">
      <c r="A106" s="43"/>
      <c r="B106" s="65" t="s">
        <v>13</v>
      </c>
      <c r="C106" s="61">
        <v>4823114015779</v>
      </c>
      <c r="D106" s="61" t="s">
        <v>367</v>
      </c>
      <c r="E106" s="61">
        <f ca="1">IFERROR(__xludf.DUMMYFUNCTION("VLOOKUP(SPLIT(D106,"".""),SPLIT(D106,"".""),1)"),38166)</f>
        <v>38166</v>
      </c>
      <c r="F106" s="61" t="s">
        <v>366</v>
      </c>
      <c r="G106" s="63" t="s">
        <v>19</v>
      </c>
      <c r="H106" s="27">
        <v>20.95</v>
      </c>
      <c r="I106" s="64">
        <v>41.9</v>
      </c>
      <c r="J106" s="79"/>
    </row>
    <row r="107" spans="1:10" ht="17.25" customHeight="1">
      <c r="A107" s="43"/>
      <c r="B107" s="74"/>
      <c r="C107" s="131"/>
      <c r="D107" s="131"/>
      <c r="E107" s="75"/>
      <c r="F107" s="75"/>
      <c r="G107" s="76"/>
      <c r="H107" s="76"/>
      <c r="I107" s="127"/>
      <c r="J107" s="98"/>
    </row>
    <row r="108" spans="1:10" ht="17.25" customHeight="1">
      <c r="A108" s="145"/>
      <c r="B108" s="146" t="s">
        <v>368</v>
      </c>
      <c r="C108" s="131"/>
      <c r="D108" s="131"/>
      <c r="E108" s="75"/>
      <c r="F108" s="75"/>
      <c r="G108" s="76"/>
      <c r="H108" s="76"/>
      <c r="I108" s="127"/>
      <c r="J108" s="147"/>
    </row>
    <row r="109" spans="1:10" ht="17.25" customHeight="1">
      <c r="A109" s="43"/>
      <c r="B109" s="52"/>
      <c r="C109" s="148"/>
      <c r="D109" s="148"/>
      <c r="E109" s="53"/>
      <c r="F109" s="53"/>
      <c r="G109" s="54"/>
      <c r="H109" s="54"/>
      <c r="I109" s="149"/>
      <c r="J109" s="98"/>
    </row>
    <row r="110" spans="1:10" ht="30.75" customHeight="1">
      <c r="A110" s="43"/>
      <c r="B110" s="16" t="s">
        <v>4</v>
      </c>
      <c r="C110" s="55" t="s">
        <v>5</v>
      </c>
      <c r="D110" s="99" t="s">
        <v>6</v>
      </c>
      <c r="E110" s="100" t="s">
        <v>7</v>
      </c>
      <c r="F110" s="100" t="s">
        <v>8</v>
      </c>
      <c r="G110" s="101" t="s">
        <v>9</v>
      </c>
      <c r="H110" s="58" t="s">
        <v>11</v>
      </c>
      <c r="I110" s="59" t="s">
        <v>12</v>
      </c>
      <c r="J110" s="150"/>
    </row>
    <row r="111" spans="1:10" ht="17.25" customHeight="1">
      <c r="A111" s="43"/>
      <c r="B111" s="65" t="s">
        <v>13</v>
      </c>
      <c r="C111" s="80">
        <v>4823114060861</v>
      </c>
      <c r="D111" s="80" t="s">
        <v>369</v>
      </c>
      <c r="E111" s="80">
        <v>87531</v>
      </c>
      <c r="F111" s="80" t="s">
        <v>370</v>
      </c>
      <c r="G111" s="81" t="s">
        <v>16</v>
      </c>
      <c r="H111" s="29">
        <v>94.09</v>
      </c>
      <c r="I111" s="29">
        <v>188.18</v>
      </c>
      <c r="J111" s="98"/>
    </row>
    <row r="112" spans="1:10" ht="17.25" customHeight="1">
      <c r="A112" s="43"/>
      <c r="B112" s="65" t="s">
        <v>13</v>
      </c>
      <c r="C112" s="61">
        <v>4823114060878</v>
      </c>
      <c r="D112" s="61" t="s">
        <v>371</v>
      </c>
      <c r="E112" s="61">
        <v>87530</v>
      </c>
      <c r="F112" s="61" t="s">
        <v>370</v>
      </c>
      <c r="G112" s="63" t="s">
        <v>19</v>
      </c>
      <c r="H112" s="29">
        <v>94.09</v>
      </c>
      <c r="I112" s="29">
        <v>188.18</v>
      </c>
      <c r="J112" s="98"/>
    </row>
    <row r="113" spans="1:10" ht="17.25" customHeight="1">
      <c r="A113" s="43"/>
      <c r="C113" s="96"/>
      <c r="D113" s="96"/>
      <c r="E113" s="9"/>
      <c r="F113" s="9"/>
      <c r="G113" s="10"/>
      <c r="H113" s="10"/>
      <c r="I113" s="97"/>
      <c r="J113" s="98"/>
    </row>
    <row r="114" spans="1:10" ht="17.25" customHeight="1">
      <c r="A114" s="43"/>
      <c r="B114" s="51" t="s">
        <v>156</v>
      </c>
      <c r="C114" s="96"/>
      <c r="D114" s="96"/>
      <c r="E114" s="9"/>
      <c r="F114" s="9"/>
      <c r="G114" s="10"/>
      <c r="H114" s="10"/>
      <c r="I114" s="97"/>
      <c r="J114" s="98"/>
    </row>
    <row r="115" spans="1:10" ht="17.25" customHeight="1">
      <c r="A115" s="43"/>
      <c r="B115" s="2"/>
      <c r="C115" s="96"/>
      <c r="D115" s="96"/>
      <c r="E115" s="9"/>
      <c r="F115" s="9"/>
      <c r="G115" s="10"/>
      <c r="H115" s="10"/>
      <c r="I115" s="97"/>
      <c r="J115" s="98"/>
    </row>
    <row r="116" spans="1:10" ht="27" customHeight="1">
      <c r="A116" s="13"/>
      <c r="B116" s="16" t="s">
        <v>4</v>
      </c>
      <c r="C116" s="55" t="s">
        <v>5</v>
      </c>
      <c r="D116" s="99" t="s">
        <v>6</v>
      </c>
      <c r="E116" s="100" t="s">
        <v>7</v>
      </c>
      <c r="F116" s="100" t="s">
        <v>8</v>
      </c>
      <c r="G116" s="101" t="s">
        <v>9</v>
      </c>
      <c r="H116" s="58" t="s">
        <v>11</v>
      </c>
      <c r="I116" s="59" t="s">
        <v>12</v>
      </c>
      <c r="J116" s="143"/>
    </row>
    <row r="117" spans="1:10" ht="15">
      <c r="A117" s="43"/>
      <c r="B117" s="60" t="s">
        <v>13</v>
      </c>
      <c r="C117" s="61">
        <v>4823114015663</v>
      </c>
      <c r="D117" s="61" t="s">
        <v>372</v>
      </c>
      <c r="E117" s="61">
        <f ca="1">IFERROR(__xludf.DUMMYFUNCTION("VLOOKUP(SPLIT(D117,"".""),SPLIT(D117,"".""),1)"),38179)</f>
        <v>38179</v>
      </c>
      <c r="F117" s="61" t="s">
        <v>373</v>
      </c>
      <c r="G117" s="63" t="s">
        <v>16</v>
      </c>
      <c r="H117" s="27">
        <v>84.89</v>
      </c>
      <c r="I117" s="64">
        <v>169.79</v>
      </c>
      <c r="J117" s="79"/>
    </row>
    <row r="118" spans="1:10" ht="15">
      <c r="A118" s="43"/>
      <c r="B118" s="65" t="s">
        <v>13</v>
      </c>
      <c r="C118" s="61">
        <v>4823114015656</v>
      </c>
      <c r="D118" s="61" t="s">
        <v>374</v>
      </c>
      <c r="E118" s="61">
        <f ca="1">IFERROR(__xludf.DUMMYFUNCTION("VLOOKUP(SPLIT(D118,"".""),SPLIT(D118,"".""),1)"),38178)</f>
        <v>38178</v>
      </c>
      <c r="F118" s="61" t="s">
        <v>373</v>
      </c>
      <c r="G118" s="63" t="s">
        <v>19</v>
      </c>
      <c r="H118" s="27">
        <v>84.89</v>
      </c>
      <c r="I118" s="64">
        <v>169.79</v>
      </c>
      <c r="J118" s="79"/>
    </row>
    <row r="119" spans="1:10" ht="15">
      <c r="A119" s="43"/>
      <c r="B119" s="65" t="s">
        <v>13</v>
      </c>
      <c r="C119" s="61">
        <v>4823114014826</v>
      </c>
      <c r="D119" s="61" t="s">
        <v>375</v>
      </c>
      <c r="E119" s="61">
        <f ca="1">IFERROR(__xludf.DUMMYFUNCTION("VLOOKUP(SPLIT(D119,"".""),SPLIT(D119,"".""),1)"),38110)</f>
        <v>38110</v>
      </c>
      <c r="F119" s="61" t="s">
        <v>376</v>
      </c>
      <c r="G119" s="63" t="s">
        <v>16</v>
      </c>
      <c r="H119" s="27">
        <v>43</v>
      </c>
      <c r="I119" s="64">
        <v>86</v>
      </c>
      <c r="J119" s="79"/>
    </row>
    <row r="120" spans="1:10" ht="15">
      <c r="A120" s="43"/>
      <c r="B120" s="65" t="s">
        <v>13</v>
      </c>
      <c r="C120" s="61">
        <v>4823114014819</v>
      </c>
      <c r="D120" s="61" t="s">
        <v>377</v>
      </c>
      <c r="E120" s="61">
        <f ca="1">IFERROR(__xludf.DUMMYFUNCTION("VLOOKUP(SPLIT(D120,"".""),SPLIT(D120,"".""),1)"),38111)</f>
        <v>38111</v>
      </c>
      <c r="F120" s="61" t="s">
        <v>376</v>
      </c>
      <c r="G120" s="63" t="s">
        <v>19</v>
      </c>
      <c r="H120" s="27">
        <v>43</v>
      </c>
      <c r="I120" s="64">
        <v>86</v>
      </c>
      <c r="J120" s="79"/>
    </row>
    <row r="121" spans="1:10" ht="15">
      <c r="A121" s="43"/>
      <c r="B121" s="65" t="s">
        <v>13</v>
      </c>
      <c r="C121" s="61">
        <v>4823114015649</v>
      </c>
      <c r="D121" s="61" t="s">
        <v>378</v>
      </c>
      <c r="E121" s="61">
        <f ca="1">IFERROR(__xludf.DUMMYFUNCTION("VLOOKUP(SPLIT(D121,"".""),SPLIT(D121,"".""),1)"),38181)</f>
        <v>38181</v>
      </c>
      <c r="F121" s="61" t="s">
        <v>379</v>
      </c>
      <c r="G121" s="63" t="s">
        <v>16</v>
      </c>
      <c r="H121" s="27">
        <v>86</v>
      </c>
      <c r="I121" s="64">
        <v>171.99</v>
      </c>
      <c r="J121" s="79"/>
    </row>
    <row r="122" spans="1:10" ht="15">
      <c r="A122" s="43"/>
      <c r="B122" s="65" t="s">
        <v>13</v>
      </c>
      <c r="C122" s="61">
        <v>4823114015632</v>
      </c>
      <c r="D122" s="61" t="s">
        <v>380</v>
      </c>
      <c r="E122" s="61">
        <f ca="1">IFERROR(__xludf.DUMMYFUNCTION("VLOOKUP(SPLIT(D122,"".""),SPLIT(D122,"".""),1)"),38180)</f>
        <v>38180</v>
      </c>
      <c r="F122" s="61" t="s">
        <v>379</v>
      </c>
      <c r="G122" s="63" t="s">
        <v>19</v>
      </c>
      <c r="H122" s="27">
        <v>86</v>
      </c>
      <c r="I122" s="64">
        <v>171.99</v>
      </c>
      <c r="J122" s="79"/>
    </row>
    <row r="123" spans="1:10" ht="15">
      <c r="A123" s="43"/>
      <c r="B123" s="65" t="s">
        <v>13</v>
      </c>
      <c r="C123" s="61">
        <v>4823114017469</v>
      </c>
      <c r="D123" s="61" t="s">
        <v>381</v>
      </c>
      <c r="E123" s="61">
        <f ca="1">IFERROR(__xludf.DUMMYFUNCTION("VLOOKUP(SPLIT(D123,"".""),SPLIT(D123,"".""),1)"),39278)</f>
        <v>39278</v>
      </c>
      <c r="F123" s="61" t="s">
        <v>382</v>
      </c>
      <c r="G123" s="63" t="s">
        <v>16</v>
      </c>
      <c r="H123" s="27">
        <v>56.23</v>
      </c>
      <c r="I123" s="64">
        <v>112.46</v>
      </c>
      <c r="J123" s="79"/>
    </row>
    <row r="124" spans="1:10" ht="15">
      <c r="A124" s="43"/>
      <c r="B124" s="65" t="s">
        <v>13</v>
      </c>
      <c r="C124" s="61">
        <v>4823114017476</v>
      </c>
      <c r="D124" s="61" t="s">
        <v>383</v>
      </c>
      <c r="E124" s="61">
        <f ca="1">IFERROR(__xludf.DUMMYFUNCTION("VLOOKUP(SPLIT(D124,"".""),SPLIT(D124,"".""),1)"),39279)</f>
        <v>39279</v>
      </c>
      <c r="F124" s="61" t="s">
        <v>382</v>
      </c>
      <c r="G124" s="63" t="s">
        <v>19</v>
      </c>
      <c r="H124" s="27">
        <v>56.23</v>
      </c>
      <c r="I124" s="64">
        <v>112.46</v>
      </c>
      <c r="J124" s="79"/>
    </row>
    <row r="125" spans="1:10" ht="17.25" customHeight="1">
      <c r="A125" s="43"/>
      <c r="B125" s="74"/>
      <c r="C125" s="131"/>
      <c r="D125" s="131"/>
      <c r="E125" s="75"/>
      <c r="F125" s="75"/>
      <c r="G125" s="76"/>
      <c r="H125" s="76"/>
      <c r="I125" s="127"/>
      <c r="J125" s="98"/>
    </row>
    <row r="126" spans="1:10" ht="17.25" customHeight="1">
      <c r="A126" s="43"/>
      <c r="B126" s="51" t="s">
        <v>188</v>
      </c>
      <c r="C126" s="96"/>
      <c r="D126" s="96"/>
      <c r="E126" s="9"/>
      <c r="F126" s="9"/>
      <c r="G126" s="10"/>
      <c r="H126" s="10"/>
      <c r="I126" s="97"/>
      <c r="J126" s="98"/>
    </row>
    <row r="127" spans="1:10" ht="17.25" customHeight="1">
      <c r="A127" s="43"/>
      <c r="B127" s="2"/>
      <c r="C127" s="96"/>
      <c r="D127" s="96"/>
      <c r="E127" s="9"/>
      <c r="F127" s="9"/>
      <c r="G127" s="10"/>
      <c r="H127" s="10"/>
      <c r="I127" s="97"/>
      <c r="J127" s="98"/>
    </row>
    <row r="128" spans="1:10" ht="29.25" customHeight="1">
      <c r="A128" s="13"/>
      <c r="B128" s="16" t="s">
        <v>4</v>
      </c>
      <c r="C128" s="55" t="s">
        <v>5</v>
      </c>
      <c r="D128" s="99" t="s">
        <v>6</v>
      </c>
      <c r="E128" s="100" t="s">
        <v>7</v>
      </c>
      <c r="F128" s="100" t="s">
        <v>8</v>
      </c>
      <c r="G128" s="101" t="s">
        <v>9</v>
      </c>
      <c r="H128" s="58" t="s">
        <v>11</v>
      </c>
      <c r="I128" s="59" t="s">
        <v>12</v>
      </c>
      <c r="J128" s="143"/>
    </row>
    <row r="129" spans="1:10" ht="15">
      <c r="A129" s="43"/>
      <c r="B129" s="60" t="s">
        <v>13</v>
      </c>
      <c r="C129" s="61">
        <v>4823114015465</v>
      </c>
      <c r="D129" s="61" t="s">
        <v>384</v>
      </c>
      <c r="E129" s="61">
        <f ca="1">IFERROR(__xludf.DUMMYFUNCTION("VLOOKUP(SPLIT(D129,"".""),SPLIT(D129,"".""),1)"),38187)</f>
        <v>38187</v>
      </c>
      <c r="F129" s="61" t="s">
        <v>385</v>
      </c>
      <c r="G129" s="63" t="s">
        <v>16</v>
      </c>
      <c r="H129" s="27">
        <v>88.2</v>
      </c>
      <c r="I129" s="64">
        <v>176.4</v>
      </c>
      <c r="J129" s="79"/>
    </row>
    <row r="130" spans="1:10" ht="15">
      <c r="A130" s="43"/>
      <c r="B130" s="65" t="s">
        <v>13</v>
      </c>
      <c r="C130" s="61">
        <v>4823114015458</v>
      </c>
      <c r="D130" s="61" t="s">
        <v>386</v>
      </c>
      <c r="E130" s="61">
        <f ca="1">IFERROR(__xludf.DUMMYFUNCTION("VLOOKUP(SPLIT(D130,"".""),SPLIT(D130,"".""),1)"),38186)</f>
        <v>38186</v>
      </c>
      <c r="F130" s="61" t="s">
        <v>385</v>
      </c>
      <c r="G130" s="63" t="s">
        <v>19</v>
      </c>
      <c r="H130" s="27">
        <v>88.2</v>
      </c>
      <c r="I130" s="64">
        <v>176.4</v>
      </c>
      <c r="J130" s="79"/>
    </row>
    <row r="131" spans="1:10" ht="15">
      <c r="A131" s="43"/>
      <c r="B131" s="65" t="s">
        <v>13</v>
      </c>
      <c r="C131" s="61">
        <v>4823114015441</v>
      </c>
      <c r="D131" s="61" t="s">
        <v>387</v>
      </c>
      <c r="E131" s="61">
        <f ca="1">IFERROR(__xludf.DUMMYFUNCTION("VLOOKUP(SPLIT(D131,"".""),SPLIT(D131,"".""),1)"),38188)</f>
        <v>38188</v>
      </c>
      <c r="F131" s="61" t="s">
        <v>388</v>
      </c>
      <c r="G131" s="63" t="s">
        <v>25</v>
      </c>
      <c r="H131" s="27">
        <v>72.209999999999994</v>
      </c>
      <c r="I131" s="64">
        <v>144.43</v>
      </c>
      <c r="J131" s="79"/>
    </row>
    <row r="132" spans="1:10" ht="15">
      <c r="A132" s="43"/>
      <c r="B132" s="65" t="s">
        <v>13</v>
      </c>
      <c r="C132" s="61">
        <v>4823114015489</v>
      </c>
      <c r="D132" s="151" t="s">
        <v>389</v>
      </c>
      <c r="E132" s="61">
        <f ca="1">IFERROR(__xludf.DUMMYFUNCTION("VLOOKUP(SPLIT(D133,"".""),SPLIT(D133,"".""),1)"),38201)</f>
        <v>38201</v>
      </c>
      <c r="F132" s="61" t="s">
        <v>390</v>
      </c>
      <c r="G132" s="63" t="s">
        <v>25</v>
      </c>
      <c r="H132" s="27">
        <v>34.18</v>
      </c>
      <c r="I132" s="64">
        <v>68.36</v>
      </c>
      <c r="J132" s="79"/>
    </row>
    <row r="133" spans="1:10" ht="15">
      <c r="A133" s="43"/>
      <c r="B133" s="65" t="s">
        <v>13</v>
      </c>
      <c r="C133" s="61">
        <v>4823114015267</v>
      </c>
      <c r="D133" s="61" t="s">
        <v>391</v>
      </c>
      <c r="E133" s="61">
        <f ca="1">IFERROR(__xludf.DUMMYFUNCTION("VLOOKUP(SPLIT(D133,"".""),SPLIT(D133,"".""),1)"),38201)</f>
        <v>38201</v>
      </c>
      <c r="F133" s="61" t="s">
        <v>392</v>
      </c>
      <c r="G133" s="63" t="s">
        <v>16</v>
      </c>
      <c r="H133" s="27">
        <v>108.05</v>
      </c>
      <c r="I133" s="64">
        <v>216.09</v>
      </c>
      <c r="J133" s="79"/>
    </row>
    <row r="134" spans="1:10" ht="15">
      <c r="A134" s="43"/>
      <c r="B134" s="65" t="s">
        <v>13</v>
      </c>
      <c r="C134" s="61">
        <v>4823114015250</v>
      </c>
      <c r="D134" s="61" t="s">
        <v>393</v>
      </c>
      <c r="E134" s="61">
        <f ca="1">IFERROR(__xludf.DUMMYFUNCTION("VLOOKUP(SPLIT(D134,"".""),SPLIT(D134,"".""),1)"),38200)</f>
        <v>38200</v>
      </c>
      <c r="F134" s="61" t="s">
        <v>392</v>
      </c>
      <c r="G134" s="63" t="s">
        <v>19</v>
      </c>
      <c r="H134" s="27">
        <v>108.05</v>
      </c>
      <c r="I134" s="64">
        <v>216.09</v>
      </c>
      <c r="J134" s="79"/>
    </row>
    <row r="135" spans="1:10" ht="15">
      <c r="A135" s="43"/>
      <c r="B135" s="65" t="s">
        <v>13</v>
      </c>
      <c r="C135" s="61">
        <v>4823114015243</v>
      </c>
      <c r="D135" s="86" t="s">
        <v>394</v>
      </c>
      <c r="E135" s="61">
        <f ca="1">IFERROR(__xludf.DUMMYFUNCTION("VLOOKUP(SPLIT(D135,"".""),SPLIT(D135,"".""),1)"),38202)</f>
        <v>38202</v>
      </c>
      <c r="F135" s="61" t="s">
        <v>395</v>
      </c>
      <c r="G135" s="63" t="s">
        <v>25</v>
      </c>
      <c r="H135" s="27">
        <v>47.41</v>
      </c>
      <c r="I135" s="64">
        <v>94.82</v>
      </c>
      <c r="J135" s="79"/>
    </row>
    <row r="136" spans="1:10" ht="15">
      <c r="A136" s="43"/>
      <c r="B136" s="65" t="s">
        <v>13</v>
      </c>
      <c r="C136" s="61">
        <v>4823114015472</v>
      </c>
      <c r="D136" s="61" t="s">
        <v>396</v>
      </c>
      <c r="E136" s="61">
        <f ca="1">IFERROR(__xludf.DUMMYFUNCTION("VLOOKUP(SPLIT(D136,"".""),SPLIT(D136,"".""),1)"),38185)</f>
        <v>38185</v>
      </c>
      <c r="F136" s="61" t="s">
        <v>397</v>
      </c>
      <c r="G136" s="63" t="s">
        <v>25</v>
      </c>
      <c r="H136" s="27">
        <v>25.36</v>
      </c>
      <c r="I136" s="64">
        <v>50.72</v>
      </c>
      <c r="J136" s="79"/>
    </row>
    <row r="137" spans="1:10" ht="17.25" customHeight="1">
      <c r="A137" s="43"/>
      <c r="B137" s="2"/>
      <c r="C137" s="96"/>
      <c r="D137" s="96"/>
      <c r="E137" s="9"/>
      <c r="F137" s="9"/>
      <c r="G137" s="10"/>
      <c r="H137" s="10"/>
      <c r="I137" s="97"/>
      <c r="J137" s="98"/>
    </row>
    <row r="138" spans="1:10" ht="17.25" customHeight="1">
      <c r="A138" s="43"/>
      <c r="B138" s="51" t="s">
        <v>398</v>
      </c>
      <c r="C138" s="96"/>
      <c r="D138" s="96"/>
      <c r="E138" s="9"/>
      <c r="F138" s="9"/>
      <c r="G138" s="10"/>
      <c r="H138" s="10"/>
      <c r="I138" s="97"/>
      <c r="J138" s="98"/>
    </row>
    <row r="139" spans="1:10" ht="17.25" customHeight="1">
      <c r="A139" s="43"/>
      <c r="B139" s="2"/>
      <c r="C139" s="96"/>
      <c r="D139" s="96"/>
      <c r="E139" s="9"/>
      <c r="F139" s="9"/>
      <c r="G139" s="10"/>
      <c r="H139" s="10"/>
      <c r="I139" s="97"/>
      <c r="J139" s="98"/>
    </row>
    <row r="140" spans="1:10" ht="30" customHeight="1">
      <c r="A140" s="13"/>
      <c r="B140" s="16" t="s">
        <v>4</v>
      </c>
      <c r="C140" s="55" t="s">
        <v>5</v>
      </c>
      <c r="D140" s="99" t="s">
        <v>6</v>
      </c>
      <c r="E140" s="100" t="s">
        <v>7</v>
      </c>
      <c r="F140" s="100" t="s">
        <v>8</v>
      </c>
      <c r="G140" s="101" t="s">
        <v>9</v>
      </c>
      <c r="H140" s="58" t="s">
        <v>11</v>
      </c>
      <c r="I140" s="59" t="s">
        <v>12</v>
      </c>
      <c r="J140" s="152"/>
    </row>
    <row r="141" spans="1:10" ht="17.25" customHeight="1">
      <c r="A141" s="43"/>
      <c r="B141" s="60" t="s">
        <v>13</v>
      </c>
      <c r="C141" s="61">
        <v>4823114015038</v>
      </c>
      <c r="D141" s="61" t="s">
        <v>399</v>
      </c>
      <c r="E141" s="61">
        <f ca="1">IFERROR(__xludf.DUMMYFUNCTION("VLOOKUP(SPLIT(D141,"".""),SPLIT(D141,"".""),1)"),38212)</f>
        <v>38212</v>
      </c>
      <c r="F141" s="61" t="s">
        <v>400</v>
      </c>
      <c r="G141" s="63" t="s">
        <v>25</v>
      </c>
      <c r="H141" s="27">
        <v>17.64</v>
      </c>
      <c r="I141" s="27">
        <v>35.28</v>
      </c>
      <c r="J141" s="150"/>
    </row>
    <row r="142" spans="1:10" ht="17.25" customHeight="1">
      <c r="A142" s="43"/>
      <c r="B142" s="65" t="s">
        <v>13</v>
      </c>
      <c r="C142" s="61">
        <v>4823114036989</v>
      </c>
      <c r="D142" s="153" t="s">
        <v>401</v>
      </c>
      <c r="E142" s="61">
        <f ca="1">IFERROR(__xludf.DUMMYFUNCTION("VLOOKUP(SPLIT(D142,"".""),SPLIT(D142,"".""),1)"),59359)</f>
        <v>59359</v>
      </c>
      <c r="F142" s="61" t="s">
        <v>402</v>
      </c>
      <c r="G142" s="63" t="s">
        <v>25</v>
      </c>
      <c r="H142" s="27">
        <v>17.64</v>
      </c>
      <c r="I142" s="27">
        <v>35.28</v>
      </c>
      <c r="J142" s="150"/>
    </row>
    <row r="143" spans="1:10" ht="17.25" customHeight="1">
      <c r="A143" s="43"/>
      <c r="B143" s="65" t="s">
        <v>13</v>
      </c>
      <c r="C143" s="61">
        <v>4823114015021</v>
      </c>
      <c r="D143" s="61" t="s">
        <v>403</v>
      </c>
      <c r="E143" s="61">
        <f ca="1">IFERROR(__xludf.DUMMYFUNCTION("VLOOKUP(SPLIT(D143,"".""),SPLIT(D143,"".""),1)"),38213)</f>
        <v>38213</v>
      </c>
      <c r="F143" s="61" t="s">
        <v>404</v>
      </c>
      <c r="G143" s="63" t="s">
        <v>25</v>
      </c>
      <c r="H143" s="27">
        <v>17.64</v>
      </c>
      <c r="I143" s="27">
        <v>35.28</v>
      </c>
      <c r="J143" s="150"/>
    </row>
    <row r="144" spans="1:10" ht="17.25" customHeight="1">
      <c r="A144" s="43"/>
      <c r="B144" s="74"/>
      <c r="C144" s="131"/>
      <c r="D144" s="131"/>
      <c r="E144" s="75"/>
      <c r="F144" s="75"/>
      <c r="G144" s="76"/>
      <c r="H144" s="76"/>
      <c r="I144" s="127"/>
      <c r="J144" s="98"/>
    </row>
    <row r="145" spans="1:10" ht="15">
      <c r="A145" s="1"/>
      <c r="B145" s="51" t="s">
        <v>405</v>
      </c>
      <c r="C145" s="96"/>
      <c r="D145" s="96"/>
      <c r="E145" s="9"/>
      <c r="F145" s="9"/>
      <c r="G145" s="10"/>
      <c r="H145" s="10"/>
      <c r="I145" s="97"/>
      <c r="J145" s="1"/>
    </row>
    <row r="146" spans="1:10" ht="15">
      <c r="A146" s="1"/>
      <c r="B146" s="2"/>
      <c r="C146" s="96"/>
      <c r="D146" s="96"/>
      <c r="E146" s="9"/>
      <c r="F146" s="9"/>
      <c r="G146" s="10"/>
      <c r="H146" s="10"/>
      <c r="I146" s="97"/>
      <c r="J146" s="1"/>
    </row>
    <row r="147" spans="1:10" ht="30">
      <c r="A147" s="1"/>
      <c r="B147" s="16" t="s">
        <v>4</v>
      </c>
      <c r="C147" s="55" t="s">
        <v>5</v>
      </c>
      <c r="D147" s="99" t="s">
        <v>6</v>
      </c>
      <c r="E147" s="100" t="s">
        <v>7</v>
      </c>
      <c r="F147" s="100" t="s">
        <v>8</v>
      </c>
      <c r="G147" s="101" t="s">
        <v>9</v>
      </c>
      <c r="H147" s="58" t="s">
        <v>11</v>
      </c>
      <c r="I147" s="59" t="s">
        <v>12</v>
      </c>
      <c r="J147" s="1"/>
    </row>
    <row r="148" spans="1:10" ht="15">
      <c r="A148" s="1"/>
      <c r="B148" s="154" t="s">
        <v>13</v>
      </c>
      <c r="C148" s="87">
        <v>4823114063077</v>
      </c>
      <c r="D148" s="87" t="s">
        <v>406</v>
      </c>
      <c r="E148" s="61">
        <f ca="1">IFERROR(__xludf.DUMMYFUNCTION("VLOOKUP(SPLIT(D148,"".""),SPLIT(D148,"".""),1)"),104117)</f>
        <v>104117</v>
      </c>
      <c r="F148" s="87" t="s">
        <v>407</v>
      </c>
      <c r="G148" s="88" t="s">
        <v>16</v>
      </c>
      <c r="H148" s="77">
        <v>13.05</v>
      </c>
      <c r="I148" s="155">
        <v>26.1</v>
      </c>
      <c r="J148" s="78"/>
    </row>
    <row r="149" spans="1:10" ht="15">
      <c r="A149" s="1"/>
      <c r="B149" s="2"/>
      <c r="C149" s="3"/>
      <c r="D149" s="3"/>
      <c r="E149" s="3"/>
      <c r="F149" s="3"/>
      <c r="G149" s="4"/>
      <c r="H149" s="4"/>
      <c r="I149" s="4"/>
      <c r="J149" s="1"/>
    </row>
    <row r="150" spans="1:10" ht="15">
      <c r="A150" s="1"/>
      <c r="B150" s="14" t="s">
        <v>408</v>
      </c>
      <c r="C150" s="50"/>
      <c r="D150" s="50"/>
      <c r="E150" s="13"/>
      <c r="F150" s="13"/>
      <c r="G150" s="13"/>
      <c r="H150" s="13"/>
      <c r="I150" s="94"/>
      <c r="J150" s="1"/>
    </row>
    <row r="151" spans="1:10" ht="15">
      <c r="A151" s="1"/>
      <c r="B151" s="13"/>
      <c r="C151" s="50"/>
      <c r="D151" s="50"/>
      <c r="E151" s="13"/>
      <c r="F151" s="13"/>
      <c r="G151" s="13"/>
      <c r="H151" s="13"/>
      <c r="I151" s="94"/>
      <c r="J151" s="1"/>
    </row>
    <row r="152" spans="1:10" ht="30">
      <c r="A152" s="1"/>
      <c r="B152" s="16" t="s">
        <v>4</v>
      </c>
      <c r="C152" s="17" t="s">
        <v>5</v>
      </c>
      <c r="D152" s="157" t="s">
        <v>6</v>
      </c>
      <c r="E152" s="158" t="s">
        <v>7</v>
      </c>
      <c r="F152" s="158" t="s">
        <v>8</v>
      </c>
      <c r="G152" s="19" t="s">
        <v>9</v>
      </c>
      <c r="H152" s="20" t="s">
        <v>11</v>
      </c>
      <c r="I152" s="21" t="s">
        <v>12</v>
      </c>
      <c r="J152" s="1"/>
    </row>
    <row r="153" spans="1:10" ht="15">
      <c r="A153" s="1"/>
      <c r="B153" s="159" t="s">
        <v>13</v>
      </c>
      <c r="C153" s="32">
        <v>4823114069956</v>
      </c>
      <c r="D153" s="33" t="s">
        <v>409</v>
      </c>
      <c r="E153" s="87">
        <f ca="1">IFERROR(__xludf.DUMMYFUNCTION("VLOOKUP(SPLIT(D153,"".""),SPLIT(D153,"".""),1)"),121874)</f>
        <v>121874</v>
      </c>
      <c r="F153" s="34" t="s">
        <v>410</v>
      </c>
      <c r="G153" s="35" t="s">
        <v>16</v>
      </c>
      <c r="H153" s="160">
        <v>81.14</v>
      </c>
      <c r="I153" s="160">
        <v>162.28</v>
      </c>
      <c r="J153" s="1"/>
    </row>
    <row r="154" spans="1:10" ht="15">
      <c r="A154" s="1"/>
      <c r="B154" s="161" t="s">
        <v>13</v>
      </c>
      <c r="C154" s="38">
        <v>4823114078217</v>
      </c>
      <c r="D154" s="162" t="s">
        <v>411</v>
      </c>
      <c r="E154" s="121">
        <f ca="1">IFERROR(__xludf.DUMMYFUNCTION("VLOOKUP(SPLIT(D154,"".""),SPLIT(D154,"".""),1)"),132037)</f>
        <v>132037</v>
      </c>
      <c r="F154" s="39" t="s">
        <v>412</v>
      </c>
      <c r="G154" s="42" t="s">
        <v>413</v>
      </c>
      <c r="H154" s="47">
        <v>61.44</v>
      </c>
      <c r="I154" s="47">
        <v>122.88</v>
      </c>
      <c r="J154" s="1"/>
    </row>
    <row r="155" spans="1:10" ht="15">
      <c r="A155" s="1"/>
      <c r="B155" s="161" t="s">
        <v>13</v>
      </c>
      <c r="C155" s="120">
        <v>4823114089398</v>
      </c>
      <c r="D155" s="39" t="s">
        <v>414</v>
      </c>
      <c r="E155" s="121">
        <f ca="1">IFERROR(__xludf.DUMMYFUNCTION("VLOOKUP(SPLIT(D155,"".""),SPLIT(D155,"".""),1)"),132041)</f>
        <v>132041</v>
      </c>
      <c r="F155" s="39" t="s">
        <v>415</v>
      </c>
      <c r="G155" s="42" t="s">
        <v>16</v>
      </c>
      <c r="H155" s="47">
        <v>190.16749999999999</v>
      </c>
      <c r="I155" s="47">
        <v>380.33499999999998</v>
      </c>
      <c r="J155" s="1"/>
    </row>
    <row r="156" spans="1:10" ht="15">
      <c r="A156" s="1"/>
      <c r="B156" s="161" t="s">
        <v>13</v>
      </c>
      <c r="C156" s="38">
        <v>4823114089381</v>
      </c>
      <c r="D156" s="162" t="s">
        <v>416</v>
      </c>
      <c r="E156" s="121">
        <f ca="1">IFERROR(__xludf.DUMMYFUNCTION("VLOOKUP(SPLIT(D156,"".""),SPLIT(D156,"".""),1)"),132039)</f>
        <v>132039</v>
      </c>
      <c r="F156" s="39" t="s">
        <v>417</v>
      </c>
      <c r="G156" s="42" t="s">
        <v>413</v>
      </c>
      <c r="H156" s="47">
        <v>133.53049999999999</v>
      </c>
      <c r="I156" s="47">
        <v>267.06099999999998</v>
      </c>
      <c r="J156" s="1"/>
    </row>
    <row r="157" spans="1:10" ht="15">
      <c r="A157" s="1"/>
      <c r="B157" s="2"/>
      <c r="C157" s="3"/>
      <c r="D157" s="3"/>
      <c r="E157" s="3"/>
      <c r="F157" s="3"/>
      <c r="G157" s="4"/>
      <c r="H157" s="4"/>
      <c r="I157" s="4"/>
      <c r="J157" s="1"/>
    </row>
    <row r="158" spans="1:10" ht="15">
      <c r="A158" s="1"/>
      <c r="B158" s="2"/>
      <c r="C158" s="3"/>
      <c r="D158" s="3"/>
      <c r="E158" s="3"/>
      <c r="F158" s="3"/>
      <c r="G158" s="4"/>
      <c r="H158" s="4"/>
      <c r="I158" s="4"/>
      <c r="J158" s="1"/>
    </row>
    <row r="159" spans="1:10" ht="15">
      <c r="A159" s="1"/>
      <c r="B159" s="2"/>
      <c r="C159" s="3"/>
      <c r="D159" s="3"/>
      <c r="E159" s="3"/>
      <c r="F159" s="3"/>
      <c r="G159" s="4"/>
      <c r="H159" s="4"/>
      <c r="I159" s="4"/>
      <c r="J159" s="1"/>
    </row>
    <row r="160" spans="1:10" ht="15">
      <c r="A160" s="1"/>
      <c r="B160" s="2"/>
      <c r="C160" s="3"/>
      <c r="D160" s="3"/>
      <c r="E160" s="3"/>
      <c r="F160" s="3"/>
      <c r="G160" s="4"/>
      <c r="H160" s="4"/>
      <c r="I160" s="4"/>
      <c r="J160" s="1"/>
    </row>
    <row r="161" spans="1:10" ht="15">
      <c r="A161" s="1"/>
      <c r="B161" s="2"/>
      <c r="C161" s="3"/>
      <c r="D161" s="3"/>
      <c r="E161" s="3"/>
      <c r="F161" s="3"/>
      <c r="G161" s="4"/>
      <c r="H161" s="4"/>
      <c r="I161" s="4"/>
      <c r="J161" s="1"/>
    </row>
  </sheetData>
  <mergeCells count="4">
    <mergeCell ref="B2:B3"/>
    <mergeCell ref="C2:E3"/>
    <mergeCell ref="B5:E5"/>
    <mergeCell ref="B6:I7"/>
  </mergeCells>
  <hyperlinks>
    <hyperlink ref="B11" r:id="rId1" xr:uid="{00000000-0004-0000-0100-000000000000}"/>
    <hyperlink ref="B12" r:id="rId2" xr:uid="{00000000-0004-0000-0100-000001000000}"/>
    <hyperlink ref="B13" r:id="rId3" xr:uid="{00000000-0004-0000-0100-000002000000}"/>
    <hyperlink ref="B14" r:id="rId4" xr:uid="{00000000-0004-0000-0100-000003000000}"/>
    <hyperlink ref="B15" r:id="rId5" xr:uid="{00000000-0004-0000-0100-000004000000}"/>
    <hyperlink ref="B16" r:id="rId6" xr:uid="{00000000-0004-0000-0100-000005000000}"/>
    <hyperlink ref="B17" r:id="rId7" xr:uid="{00000000-0004-0000-0100-000006000000}"/>
    <hyperlink ref="B18" r:id="rId8" xr:uid="{00000000-0004-0000-0100-000007000000}"/>
    <hyperlink ref="B19" r:id="rId9" xr:uid="{00000000-0004-0000-0100-000008000000}"/>
    <hyperlink ref="B20" r:id="rId10" xr:uid="{00000000-0004-0000-0100-000009000000}"/>
    <hyperlink ref="B21" r:id="rId11" xr:uid="{00000000-0004-0000-0100-00000A000000}"/>
    <hyperlink ref="B26" r:id="rId12" xr:uid="{00000000-0004-0000-0100-00000B000000}"/>
    <hyperlink ref="B27" r:id="rId13" xr:uid="{00000000-0004-0000-0100-00000C000000}"/>
    <hyperlink ref="B28" r:id="rId14" xr:uid="{00000000-0004-0000-0100-00000D000000}"/>
    <hyperlink ref="B29" r:id="rId15" xr:uid="{00000000-0004-0000-0100-00000E000000}"/>
    <hyperlink ref="B34" r:id="rId16" xr:uid="{00000000-0004-0000-0100-00000F000000}"/>
    <hyperlink ref="B35" r:id="rId17" xr:uid="{00000000-0004-0000-0100-000010000000}"/>
    <hyperlink ref="B36" r:id="rId18" xr:uid="{00000000-0004-0000-0100-000011000000}"/>
    <hyperlink ref="B37" r:id="rId19" xr:uid="{00000000-0004-0000-0100-000012000000}"/>
    <hyperlink ref="B42" r:id="rId20" xr:uid="{00000000-0004-0000-0100-000013000000}"/>
    <hyperlink ref="B43" r:id="rId21" xr:uid="{00000000-0004-0000-0100-000014000000}"/>
    <hyperlink ref="B48" r:id="rId22" xr:uid="{00000000-0004-0000-0100-000015000000}"/>
    <hyperlink ref="B49" r:id="rId23" xr:uid="{00000000-0004-0000-0100-000016000000}"/>
    <hyperlink ref="B50" r:id="rId24" xr:uid="{00000000-0004-0000-0100-000017000000}"/>
    <hyperlink ref="B51" r:id="rId25" xr:uid="{00000000-0004-0000-0100-000018000000}"/>
    <hyperlink ref="B52" r:id="rId26" xr:uid="{00000000-0004-0000-0100-000019000000}"/>
    <hyperlink ref="B53" r:id="rId27" xr:uid="{00000000-0004-0000-0100-00001A000000}"/>
    <hyperlink ref="B54" r:id="rId28" xr:uid="{00000000-0004-0000-0100-00001B000000}"/>
    <hyperlink ref="B55" r:id="rId29" xr:uid="{00000000-0004-0000-0100-00001C000000}"/>
    <hyperlink ref="B56" r:id="rId30" xr:uid="{00000000-0004-0000-0100-00001D000000}"/>
    <hyperlink ref="B57" r:id="rId31" xr:uid="{00000000-0004-0000-0100-00001E000000}"/>
    <hyperlink ref="B59" r:id="rId32" xr:uid="{00000000-0004-0000-0100-00001F000000}"/>
    <hyperlink ref="B60" r:id="rId33" xr:uid="{00000000-0004-0000-0100-000020000000}"/>
    <hyperlink ref="B61" r:id="rId34" xr:uid="{00000000-0004-0000-0100-000021000000}"/>
    <hyperlink ref="B62" r:id="rId35" xr:uid="{00000000-0004-0000-0100-000022000000}"/>
    <hyperlink ref="B63" r:id="rId36" xr:uid="{00000000-0004-0000-0100-000023000000}"/>
    <hyperlink ref="B64" r:id="rId37" xr:uid="{00000000-0004-0000-0100-000024000000}"/>
    <hyperlink ref="B65" r:id="rId38" xr:uid="{00000000-0004-0000-0100-000025000000}"/>
    <hyperlink ref="B66" r:id="rId39" xr:uid="{00000000-0004-0000-0100-000026000000}"/>
    <hyperlink ref="B67" r:id="rId40" xr:uid="{00000000-0004-0000-0100-000027000000}"/>
    <hyperlink ref="B68" r:id="rId41" xr:uid="{00000000-0004-0000-0100-000028000000}"/>
    <hyperlink ref="B69" r:id="rId42" xr:uid="{00000000-0004-0000-0100-000029000000}"/>
    <hyperlink ref="B70" r:id="rId43" xr:uid="{00000000-0004-0000-0100-00002A000000}"/>
    <hyperlink ref="B71" r:id="rId44" xr:uid="{00000000-0004-0000-0100-00002B000000}"/>
    <hyperlink ref="B72" r:id="rId45" xr:uid="{00000000-0004-0000-0100-00002C000000}"/>
    <hyperlink ref="B73" r:id="rId46" xr:uid="{00000000-0004-0000-0100-00002D000000}"/>
    <hyperlink ref="B78" r:id="rId47" xr:uid="{00000000-0004-0000-0100-00002E000000}"/>
    <hyperlink ref="B79" r:id="rId48" xr:uid="{00000000-0004-0000-0100-00002F000000}"/>
    <hyperlink ref="B80" r:id="rId49" xr:uid="{00000000-0004-0000-0100-000030000000}"/>
    <hyperlink ref="B81" r:id="rId50" xr:uid="{00000000-0004-0000-0100-000031000000}"/>
    <hyperlink ref="B82" r:id="rId51" xr:uid="{00000000-0004-0000-0100-000032000000}"/>
    <hyperlink ref="B83" r:id="rId52" xr:uid="{00000000-0004-0000-0100-000033000000}"/>
    <hyperlink ref="B84" r:id="rId53" xr:uid="{00000000-0004-0000-0100-000034000000}"/>
    <hyperlink ref="B85" r:id="rId54" xr:uid="{00000000-0004-0000-0100-000035000000}"/>
    <hyperlink ref="B86" r:id="rId55" xr:uid="{00000000-0004-0000-0100-000036000000}"/>
    <hyperlink ref="B87" r:id="rId56" xr:uid="{00000000-0004-0000-0100-000037000000}"/>
    <hyperlink ref="B88" r:id="rId57" xr:uid="{00000000-0004-0000-0100-000038000000}"/>
    <hyperlink ref="B89" r:id="rId58" xr:uid="{00000000-0004-0000-0100-000039000000}"/>
    <hyperlink ref="B90" r:id="rId59" xr:uid="{00000000-0004-0000-0100-00003A000000}"/>
    <hyperlink ref="B91" r:id="rId60" xr:uid="{00000000-0004-0000-0100-00003B000000}"/>
    <hyperlink ref="B92" r:id="rId61" xr:uid="{00000000-0004-0000-0100-00003C000000}"/>
    <hyperlink ref="B93" r:id="rId62" xr:uid="{00000000-0004-0000-0100-00003D000000}"/>
    <hyperlink ref="B94" r:id="rId63" xr:uid="{00000000-0004-0000-0100-00003E000000}"/>
    <hyperlink ref="B95" r:id="rId64" xr:uid="{00000000-0004-0000-0100-00003F000000}"/>
    <hyperlink ref="B96" r:id="rId65" xr:uid="{00000000-0004-0000-0100-000040000000}"/>
    <hyperlink ref="B97" r:id="rId66" xr:uid="{00000000-0004-0000-0100-000041000000}"/>
    <hyperlink ref="B98" r:id="rId67" xr:uid="{00000000-0004-0000-0100-000042000000}"/>
    <hyperlink ref="B99" r:id="rId68" xr:uid="{00000000-0004-0000-0100-000043000000}"/>
    <hyperlink ref="B100" r:id="rId69" xr:uid="{00000000-0004-0000-0100-000044000000}"/>
    <hyperlink ref="B101" r:id="rId70" xr:uid="{00000000-0004-0000-0100-000045000000}"/>
    <hyperlink ref="B102" r:id="rId71" xr:uid="{00000000-0004-0000-0100-000046000000}"/>
    <hyperlink ref="B103" r:id="rId72" xr:uid="{00000000-0004-0000-0100-000047000000}"/>
    <hyperlink ref="D103" r:id="rId73" xr:uid="{00000000-0004-0000-0100-000048000000}"/>
    <hyperlink ref="B104" r:id="rId74" xr:uid="{00000000-0004-0000-0100-000049000000}"/>
    <hyperlink ref="B105" r:id="rId75" xr:uid="{00000000-0004-0000-0100-00004A000000}"/>
    <hyperlink ref="B106" r:id="rId76" xr:uid="{00000000-0004-0000-0100-00004B000000}"/>
    <hyperlink ref="B111" r:id="rId77" xr:uid="{00000000-0004-0000-0100-00004C000000}"/>
    <hyperlink ref="B112" r:id="rId78" xr:uid="{00000000-0004-0000-0100-00004D000000}"/>
    <hyperlink ref="B117" r:id="rId79" xr:uid="{00000000-0004-0000-0100-00004E000000}"/>
    <hyperlink ref="B118" r:id="rId80" xr:uid="{00000000-0004-0000-0100-00004F000000}"/>
    <hyperlink ref="B119" r:id="rId81" xr:uid="{00000000-0004-0000-0100-000050000000}"/>
    <hyperlink ref="B120" r:id="rId82" xr:uid="{00000000-0004-0000-0100-000051000000}"/>
    <hyperlink ref="B121" r:id="rId83" xr:uid="{00000000-0004-0000-0100-000052000000}"/>
    <hyperlink ref="B122" r:id="rId84" xr:uid="{00000000-0004-0000-0100-000053000000}"/>
    <hyperlink ref="B123" r:id="rId85" xr:uid="{00000000-0004-0000-0100-000054000000}"/>
    <hyperlink ref="B124" r:id="rId86" xr:uid="{00000000-0004-0000-0100-000055000000}"/>
    <hyperlink ref="B129" r:id="rId87" xr:uid="{00000000-0004-0000-0100-000056000000}"/>
    <hyperlink ref="B130" r:id="rId88" xr:uid="{00000000-0004-0000-0100-000057000000}"/>
    <hyperlink ref="B131" r:id="rId89" xr:uid="{00000000-0004-0000-0100-000058000000}"/>
    <hyperlink ref="B132" r:id="rId90" xr:uid="{00000000-0004-0000-0100-000059000000}"/>
    <hyperlink ref="B133" r:id="rId91" xr:uid="{00000000-0004-0000-0100-00005A000000}"/>
    <hyperlink ref="B134" r:id="rId92" xr:uid="{00000000-0004-0000-0100-00005B000000}"/>
    <hyperlink ref="B135" r:id="rId93" xr:uid="{00000000-0004-0000-0100-00005C000000}"/>
    <hyperlink ref="B136" r:id="rId94" xr:uid="{00000000-0004-0000-0100-00005D000000}"/>
    <hyperlink ref="B141" r:id="rId95" xr:uid="{00000000-0004-0000-0100-00005E000000}"/>
    <hyperlink ref="B142" r:id="rId96" xr:uid="{00000000-0004-0000-0100-00005F000000}"/>
    <hyperlink ref="B143" r:id="rId97" xr:uid="{00000000-0004-0000-0100-000060000000}"/>
    <hyperlink ref="B148" r:id="rId98" xr:uid="{00000000-0004-0000-0100-000061000000}"/>
    <hyperlink ref="B153" r:id="rId99" xr:uid="{00000000-0004-0000-0100-000062000000}"/>
    <hyperlink ref="B154" r:id="rId100" xr:uid="{00000000-0004-0000-0100-000063000000}"/>
    <hyperlink ref="B155" r:id="rId101" xr:uid="{00000000-0004-0000-0100-000064000000}"/>
    <hyperlink ref="B156" r:id="rId102" xr:uid="{00000000-0004-0000-0100-000065000000}"/>
  </hyperlinks>
  <pageMargins left="0.7" right="0.7" top="0.75" bottom="0.75" header="0.3" footer="0.3"/>
  <drawing r:id="rId1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55"/>
  <sheetViews>
    <sheetView workbookViewId="0">
      <selection activeCell="H1" sqref="H1:H1048576"/>
    </sheetView>
  </sheetViews>
  <sheetFormatPr baseColWidth="10" defaultColWidth="12.5703125" defaultRowHeight="15.75" customHeight="1"/>
  <cols>
    <col min="1" max="1" width="3.42578125" customWidth="1"/>
    <col min="3" max="4" width="15.5703125" customWidth="1"/>
    <col min="5" max="5" width="9.42578125" customWidth="1"/>
    <col min="6" max="6" width="38.42578125" customWidth="1"/>
    <col min="7" max="7" width="11.42578125" customWidth="1"/>
    <col min="8" max="8" width="12.85546875" customWidth="1"/>
    <col min="9" max="9" width="15.140625" customWidth="1"/>
    <col min="10" max="10" width="3" customWidth="1"/>
  </cols>
  <sheetData>
    <row r="1" spans="1:10" ht="15">
      <c r="A1" s="1"/>
      <c r="B1" s="2"/>
      <c r="C1" s="3"/>
      <c r="D1" s="3"/>
      <c r="E1" s="3"/>
      <c r="F1" s="3"/>
      <c r="G1" s="3"/>
      <c r="H1" s="3"/>
      <c r="I1" s="3"/>
      <c r="J1" s="1"/>
    </row>
    <row r="2" spans="1:10" ht="20.25" customHeight="1">
      <c r="A2" s="1"/>
      <c r="B2" s="294"/>
      <c r="C2" s="296" t="s">
        <v>0</v>
      </c>
      <c r="D2" s="297"/>
      <c r="E2" s="298"/>
      <c r="F2" s="3"/>
      <c r="G2" s="163"/>
      <c r="H2" s="306"/>
      <c r="I2" s="303"/>
      <c r="J2" s="104"/>
    </row>
    <row r="3" spans="1:10" ht="18.75" customHeight="1">
      <c r="A3" s="1"/>
      <c r="B3" s="295"/>
      <c r="C3" s="299"/>
      <c r="D3" s="300"/>
      <c r="E3" s="301"/>
      <c r="F3" s="3"/>
      <c r="G3" s="302"/>
      <c r="H3" s="306"/>
      <c r="I3" s="303"/>
      <c r="J3" s="104"/>
    </row>
    <row r="4" spans="1:10" ht="12" customHeight="1">
      <c r="A4" s="1"/>
      <c r="B4" s="2"/>
      <c r="C4" s="3"/>
      <c r="D4" s="3"/>
      <c r="E4" s="3"/>
      <c r="F4" s="3"/>
      <c r="G4" s="163"/>
      <c r="H4" s="306"/>
      <c r="I4" s="303"/>
      <c r="J4" s="104"/>
    </row>
    <row r="5" spans="1:10" ht="15">
      <c r="A5" s="2"/>
      <c r="B5" s="305" t="s">
        <v>1208</v>
      </c>
      <c r="C5" s="306"/>
      <c r="D5" s="306"/>
      <c r="E5" s="303"/>
      <c r="F5" s="9"/>
      <c r="G5" s="10"/>
      <c r="H5" s="10"/>
      <c r="I5" s="10"/>
      <c r="J5" s="2"/>
    </row>
    <row r="6" spans="1:10" ht="15">
      <c r="A6" s="43"/>
      <c r="B6" s="9"/>
      <c r="C6" s="96"/>
      <c r="D6" s="96"/>
      <c r="E6" s="9"/>
      <c r="F6" s="9"/>
      <c r="G6" s="76"/>
      <c r="H6" s="115"/>
      <c r="I6" s="10"/>
      <c r="J6" s="2"/>
    </row>
    <row r="7" spans="1:10" ht="15">
      <c r="A7" s="164"/>
      <c r="B7" s="51" t="s">
        <v>418</v>
      </c>
      <c r="C7" s="165"/>
      <c r="D7" s="165"/>
      <c r="E7" s="166"/>
      <c r="F7" s="166"/>
      <c r="G7" s="167"/>
      <c r="H7" s="164"/>
      <c r="I7" s="51"/>
      <c r="J7" s="51"/>
    </row>
    <row r="8" spans="1:10" ht="15">
      <c r="A8" s="43"/>
      <c r="B8" s="12"/>
      <c r="C8" s="168"/>
      <c r="D8" s="168"/>
      <c r="E8" s="12"/>
      <c r="F8" s="12"/>
      <c r="G8" s="12"/>
      <c r="H8" s="43"/>
      <c r="I8" s="2"/>
      <c r="J8" s="2"/>
    </row>
    <row r="9" spans="1:10" ht="30">
      <c r="A9" s="43"/>
      <c r="B9" s="16" t="s">
        <v>4</v>
      </c>
      <c r="C9" s="55" t="s">
        <v>5</v>
      </c>
      <c r="D9" s="55" t="s">
        <v>6</v>
      </c>
      <c r="E9" s="56" t="s">
        <v>7</v>
      </c>
      <c r="F9" s="56" t="s">
        <v>8</v>
      </c>
      <c r="G9" s="16" t="s">
        <v>9</v>
      </c>
      <c r="H9" s="58" t="s">
        <v>11</v>
      </c>
      <c r="I9" s="21" t="s">
        <v>12</v>
      </c>
      <c r="J9" s="2"/>
    </row>
    <row r="10" spans="1:10" ht="15">
      <c r="A10" s="43"/>
      <c r="B10" s="169"/>
      <c r="C10" s="38">
        <v>4823114076459</v>
      </c>
      <c r="D10" s="38" t="s">
        <v>419</v>
      </c>
      <c r="E10" s="38">
        <v>135569</v>
      </c>
      <c r="F10" s="39" t="s">
        <v>420</v>
      </c>
      <c r="G10" s="40" t="s">
        <v>16</v>
      </c>
      <c r="H10" s="122">
        <v>293.08949999999999</v>
      </c>
      <c r="I10" s="122">
        <v>586.17899999999997</v>
      </c>
      <c r="J10" s="79"/>
    </row>
    <row r="11" spans="1:10" ht="15">
      <c r="A11" s="43"/>
      <c r="B11" s="169"/>
      <c r="C11" s="38">
        <v>4823114076466</v>
      </c>
      <c r="D11" s="38" t="s">
        <v>421</v>
      </c>
      <c r="E11" s="38">
        <v>135570</v>
      </c>
      <c r="F11" s="39" t="s">
        <v>420</v>
      </c>
      <c r="G11" s="40" t="s">
        <v>19</v>
      </c>
      <c r="H11" s="122">
        <v>293.08949999999999</v>
      </c>
      <c r="I11" s="122">
        <v>586.17899999999997</v>
      </c>
      <c r="J11" s="79"/>
    </row>
    <row r="12" spans="1:10" ht="15">
      <c r="A12" s="43"/>
      <c r="B12" s="169"/>
      <c r="C12" s="38">
        <v>4823114076350</v>
      </c>
      <c r="D12" s="38" t="s">
        <v>422</v>
      </c>
      <c r="E12" s="38">
        <v>135571</v>
      </c>
      <c r="F12" s="39" t="s">
        <v>423</v>
      </c>
      <c r="G12" s="40" t="s">
        <v>16</v>
      </c>
      <c r="H12" s="122">
        <v>374.51100000000002</v>
      </c>
      <c r="I12" s="122">
        <v>749.02200000000005</v>
      </c>
      <c r="J12" s="79"/>
    </row>
    <row r="13" spans="1:10" ht="15">
      <c r="A13" s="43"/>
      <c r="B13" s="169"/>
      <c r="C13" s="38">
        <v>4823114076367</v>
      </c>
      <c r="D13" s="38" t="s">
        <v>424</v>
      </c>
      <c r="E13" s="38">
        <v>135572</v>
      </c>
      <c r="F13" s="39" t="s">
        <v>423</v>
      </c>
      <c r="G13" s="40" t="s">
        <v>19</v>
      </c>
      <c r="H13" s="122">
        <v>374.51100000000002</v>
      </c>
      <c r="I13" s="122">
        <v>749.02200000000005</v>
      </c>
      <c r="J13" s="79"/>
    </row>
    <row r="14" spans="1:10" ht="15">
      <c r="A14" s="43"/>
      <c r="B14" s="169"/>
      <c r="C14" s="38">
        <v>4823114076411</v>
      </c>
      <c r="D14" s="38" t="s">
        <v>425</v>
      </c>
      <c r="E14" s="38">
        <v>135577</v>
      </c>
      <c r="F14" s="39" t="s">
        <v>426</v>
      </c>
      <c r="G14" s="40" t="s">
        <v>16</v>
      </c>
      <c r="H14" s="122">
        <v>293.08949999999999</v>
      </c>
      <c r="I14" s="122">
        <v>586.17899999999997</v>
      </c>
      <c r="J14" s="79"/>
    </row>
    <row r="15" spans="1:10" ht="15">
      <c r="A15" s="43"/>
      <c r="B15" s="169"/>
      <c r="C15" s="38">
        <v>4823114076428</v>
      </c>
      <c r="D15" s="38" t="s">
        <v>427</v>
      </c>
      <c r="E15" s="38">
        <v>135578</v>
      </c>
      <c r="F15" s="39" t="s">
        <v>426</v>
      </c>
      <c r="G15" s="40" t="s">
        <v>19</v>
      </c>
      <c r="H15" s="122">
        <v>293.08949999999999</v>
      </c>
      <c r="I15" s="122">
        <v>586.17899999999997</v>
      </c>
      <c r="J15" s="79"/>
    </row>
    <row r="16" spans="1:10" ht="15">
      <c r="A16" s="43"/>
      <c r="B16" s="169"/>
      <c r="C16" s="38">
        <v>4823114076435</v>
      </c>
      <c r="D16" s="38" t="s">
        <v>428</v>
      </c>
      <c r="E16" s="38">
        <v>135579</v>
      </c>
      <c r="F16" s="39" t="s">
        <v>429</v>
      </c>
      <c r="G16" s="40" t="s">
        <v>16</v>
      </c>
      <c r="H16" s="122">
        <v>374.51100000000002</v>
      </c>
      <c r="I16" s="122">
        <v>749.02200000000005</v>
      </c>
      <c r="J16" s="79"/>
    </row>
    <row r="17" spans="1:10" ht="15">
      <c r="A17" s="43"/>
      <c r="B17" s="169"/>
      <c r="C17" s="38">
        <v>4823114076442</v>
      </c>
      <c r="D17" s="38" t="s">
        <v>430</v>
      </c>
      <c r="E17" s="38">
        <v>135580</v>
      </c>
      <c r="F17" s="39" t="s">
        <v>429</v>
      </c>
      <c r="G17" s="40" t="s">
        <v>19</v>
      </c>
      <c r="H17" s="122">
        <v>374.51100000000002</v>
      </c>
      <c r="I17" s="122">
        <v>749.02200000000005</v>
      </c>
      <c r="J17" s="79"/>
    </row>
    <row r="18" spans="1:10" ht="15">
      <c r="A18" s="43"/>
      <c r="B18" s="169"/>
      <c r="C18" s="38">
        <v>4823114076374</v>
      </c>
      <c r="D18" s="38" t="s">
        <v>431</v>
      </c>
      <c r="E18" s="38">
        <v>135573</v>
      </c>
      <c r="F18" s="39" t="s">
        <v>432</v>
      </c>
      <c r="G18" s="40" t="s">
        <v>16</v>
      </c>
      <c r="H18" s="122">
        <v>293.08949999999999</v>
      </c>
      <c r="I18" s="122">
        <v>586.17899999999997</v>
      </c>
      <c r="J18" s="79"/>
    </row>
    <row r="19" spans="1:10" ht="15">
      <c r="A19" s="43"/>
      <c r="B19" s="169"/>
      <c r="C19" s="38">
        <v>4823114076381</v>
      </c>
      <c r="D19" s="38" t="s">
        <v>433</v>
      </c>
      <c r="E19" s="38">
        <v>135574</v>
      </c>
      <c r="F19" s="39" t="s">
        <v>432</v>
      </c>
      <c r="G19" s="40" t="s">
        <v>19</v>
      </c>
      <c r="H19" s="122">
        <v>293.08949999999999</v>
      </c>
      <c r="I19" s="122">
        <v>586.17899999999997</v>
      </c>
      <c r="J19" s="79"/>
    </row>
    <row r="20" spans="1:10" ht="15">
      <c r="A20" s="43"/>
      <c r="B20" s="169"/>
      <c r="C20" s="38">
        <v>4823114076398</v>
      </c>
      <c r="D20" s="38" t="s">
        <v>434</v>
      </c>
      <c r="E20" s="38">
        <v>135575</v>
      </c>
      <c r="F20" s="39" t="s">
        <v>435</v>
      </c>
      <c r="G20" s="40" t="s">
        <v>16</v>
      </c>
      <c r="H20" s="122">
        <v>374.51100000000002</v>
      </c>
      <c r="I20" s="122">
        <v>749.02200000000005</v>
      </c>
      <c r="J20" s="79"/>
    </row>
    <row r="21" spans="1:10" ht="15">
      <c r="A21" s="43"/>
      <c r="B21" s="169"/>
      <c r="C21" s="38">
        <v>4823114076404</v>
      </c>
      <c r="D21" s="38" t="s">
        <v>436</v>
      </c>
      <c r="E21" s="38">
        <v>135576</v>
      </c>
      <c r="F21" s="39" t="s">
        <v>435</v>
      </c>
      <c r="G21" s="40" t="s">
        <v>19</v>
      </c>
      <c r="H21" s="122">
        <v>374.51100000000002</v>
      </c>
      <c r="I21" s="122">
        <v>749.02200000000005</v>
      </c>
      <c r="J21" s="79"/>
    </row>
    <row r="22" spans="1:10" ht="15">
      <c r="A22" s="1"/>
      <c r="B22" s="74"/>
      <c r="C22" s="170"/>
      <c r="D22" s="170"/>
      <c r="E22" s="170"/>
      <c r="F22" s="170"/>
      <c r="G22" s="156"/>
      <c r="H22" s="156"/>
      <c r="I22" s="156"/>
      <c r="J22" s="1"/>
    </row>
    <row r="23" spans="1:10" ht="15">
      <c r="A23" s="43"/>
      <c r="B23" s="171" t="s">
        <v>437</v>
      </c>
      <c r="C23" s="172"/>
      <c r="D23" s="172"/>
      <c r="E23" s="172"/>
      <c r="F23" s="172"/>
      <c r="G23" s="172"/>
      <c r="H23" s="172"/>
      <c r="I23" s="172"/>
      <c r="J23" s="79"/>
    </row>
    <row r="24" spans="1:10" ht="15">
      <c r="A24" s="43"/>
      <c r="B24" s="172"/>
      <c r="C24" s="172"/>
      <c r="D24" s="172"/>
      <c r="E24" s="172"/>
      <c r="F24" s="172"/>
      <c r="G24" s="172"/>
      <c r="H24" s="172"/>
      <c r="I24" s="172"/>
      <c r="J24" s="79"/>
    </row>
    <row r="25" spans="1:10" ht="30">
      <c r="A25" s="43"/>
      <c r="B25" s="16" t="s">
        <v>4</v>
      </c>
      <c r="C25" s="55" t="s">
        <v>5</v>
      </c>
      <c r="D25" s="55" t="s">
        <v>6</v>
      </c>
      <c r="E25" s="56" t="s">
        <v>7</v>
      </c>
      <c r="F25" s="56" t="s">
        <v>8</v>
      </c>
      <c r="G25" s="16" t="s">
        <v>9</v>
      </c>
      <c r="H25" s="58" t="s">
        <v>11</v>
      </c>
      <c r="I25" s="21" t="s">
        <v>12</v>
      </c>
      <c r="J25" s="2"/>
    </row>
    <row r="26" spans="1:10" ht="15">
      <c r="A26" s="43"/>
      <c r="B26" s="169"/>
      <c r="C26" s="38"/>
      <c r="D26" s="38" t="s">
        <v>438</v>
      </c>
      <c r="E26" s="38">
        <v>140918</v>
      </c>
      <c r="F26" s="39" t="s">
        <v>439</v>
      </c>
      <c r="G26" s="40" t="s">
        <v>16</v>
      </c>
      <c r="H26" s="122">
        <v>232.029</v>
      </c>
      <c r="I26" s="122">
        <v>464.05799999999999</v>
      </c>
      <c r="J26" s="79"/>
    </row>
    <row r="27" spans="1:10" ht="15">
      <c r="A27" s="43"/>
      <c r="B27" s="169"/>
      <c r="C27" s="38"/>
      <c r="D27" s="38" t="s">
        <v>440</v>
      </c>
      <c r="E27" s="38">
        <v>140919</v>
      </c>
      <c r="F27" s="39" t="s">
        <v>439</v>
      </c>
      <c r="G27" s="40" t="s">
        <v>19</v>
      </c>
      <c r="H27" s="122">
        <v>232.029</v>
      </c>
      <c r="I27" s="122">
        <v>464.05799999999999</v>
      </c>
      <c r="J27" s="79"/>
    </row>
    <row r="28" spans="1:10" ht="15">
      <c r="A28" s="43"/>
      <c r="B28" s="169"/>
      <c r="C28" s="38"/>
      <c r="D28" s="38" t="s">
        <v>441</v>
      </c>
      <c r="E28" s="38">
        <v>140920</v>
      </c>
      <c r="F28" s="39" t="s">
        <v>442</v>
      </c>
      <c r="G28" s="40" t="s">
        <v>16</v>
      </c>
      <c r="H28" s="122">
        <v>357.13499999999999</v>
      </c>
      <c r="I28" s="122">
        <v>714.27</v>
      </c>
      <c r="J28" s="79"/>
    </row>
    <row r="29" spans="1:10" ht="15">
      <c r="A29" s="43"/>
      <c r="B29" s="169"/>
      <c r="C29" s="38"/>
      <c r="D29" s="38" t="s">
        <v>443</v>
      </c>
      <c r="E29" s="38">
        <v>140921</v>
      </c>
      <c r="F29" s="39" t="s">
        <v>442</v>
      </c>
      <c r="G29" s="40" t="s">
        <v>19</v>
      </c>
      <c r="H29" s="122">
        <v>357.13499999999999</v>
      </c>
      <c r="I29" s="122">
        <v>714.27</v>
      </c>
      <c r="J29" s="79"/>
    </row>
    <row r="30" spans="1:10" ht="15">
      <c r="A30" s="112"/>
      <c r="B30" s="169"/>
      <c r="C30" s="38"/>
      <c r="D30" s="38" t="s">
        <v>444</v>
      </c>
      <c r="E30" s="38">
        <v>140922</v>
      </c>
      <c r="F30" s="39" t="s">
        <v>445</v>
      </c>
      <c r="G30" s="40" t="s">
        <v>16</v>
      </c>
      <c r="H30" s="122">
        <v>482.1395</v>
      </c>
      <c r="I30" s="122">
        <v>964.279</v>
      </c>
      <c r="J30" s="78"/>
    </row>
    <row r="31" spans="1:10" ht="15">
      <c r="A31" s="112"/>
      <c r="B31" s="169"/>
      <c r="C31" s="38"/>
      <c r="D31" s="38" t="s">
        <v>446</v>
      </c>
      <c r="E31" s="38">
        <v>140923</v>
      </c>
      <c r="F31" s="39" t="s">
        <v>445</v>
      </c>
      <c r="G31" s="40" t="s">
        <v>19</v>
      </c>
      <c r="H31" s="122">
        <v>482.1395</v>
      </c>
      <c r="I31" s="122">
        <v>964.279</v>
      </c>
      <c r="J31" s="78"/>
    </row>
    <row r="32" spans="1:10" ht="15">
      <c r="A32" s="112"/>
      <c r="B32" s="169"/>
      <c r="C32" s="38"/>
      <c r="D32" s="38" t="s">
        <v>447</v>
      </c>
      <c r="E32" s="38">
        <v>140924</v>
      </c>
      <c r="F32" s="39" t="s">
        <v>448</v>
      </c>
      <c r="G32" s="40" t="s">
        <v>16</v>
      </c>
      <c r="H32" s="122">
        <v>295.82900000000001</v>
      </c>
      <c r="I32" s="122">
        <v>591.65800000000002</v>
      </c>
      <c r="J32" s="78"/>
    </row>
    <row r="33" spans="1:10" ht="15">
      <c r="A33" s="112"/>
      <c r="B33" s="169"/>
      <c r="C33" s="38"/>
      <c r="D33" s="38" t="s">
        <v>449</v>
      </c>
      <c r="E33" s="38">
        <v>140925</v>
      </c>
      <c r="F33" s="39" t="s">
        <v>448</v>
      </c>
      <c r="G33" s="40" t="s">
        <v>19</v>
      </c>
      <c r="H33" s="122">
        <v>295.82900000000001</v>
      </c>
      <c r="I33" s="122">
        <v>591.65800000000002</v>
      </c>
      <c r="J33" s="78"/>
    </row>
    <row r="34" spans="1:10" ht="15">
      <c r="A34" s="112"/>
      <c r="B34" s="169"/>
      <c r="C34" s="38"/>
      <c r="D34" s="38" t="s">
        <v>450</v>
      </c>
      <c r="E34" s="38">
        <v>140926</v>
      </c>
      <c r="F34" s="39" t="s">
        <v>451</v>
      </c>
      <c r="G34" s="40" t="s">
        <v>16</v>
      </c>
      <c r="H34" s="122">
        <v>420.935</v>
      </c>
      <c r="I34" s="122">
        <v>841.87</v>
      </c>
      <c r="J34" s="78"/>
    </row>
    <row r="35" spans="1:10" ht="15">
      <c r="A35" s="112"/>
      <c r="B35" s="169"/>
      <c r="C35" s="38"/>
      <c r="D35" s="38" t="s">
        <v>452</v>
      </c>
      <c r="E35" s="38">
        <v>140927</v>
      </c>
      <c r="F35" s="39" t="s">
        <v>451</v>
      </c>
      <c r="G35" s="40" t="s">
        <v>19</v>
      </c>
      <c r="H35" s="122">
        <v>420.935</v>
      </c>
      <c r="I35" s="122">
        <v>841.87</v>
      </c>
      <c r="J35" s="78"/>
    </row>
    <row r="36" spans="1:10" ht="15">
      <c r="A36" s="112"/>
      <c r="B36" s="169"/>
      <c r="C36" s="38">
        <v>4823114082443</v>
      </c>
      <c r="D36" s="38" t="s">
        <v>453</v>
      </c>
      <c r="E36" s="38">
        <v>140928</v>
      </c>
      <c r="F36" s="39" t="s">
        <v>454</v>
      </c>
      <c r="G36" s="40" t="s">
        <v>16</v>
      </c>
      <c r="H36" s="122">
        <v>484.73500000000001</v>
      </c>
      <c r="I36" s="122">
        <v>969.47</v>
      </c>
      <c r="J36" s="78"/>
    </row>
    <row r="37" spans="1:10" ht="15">
      <c r="A37" s="112"/>
      <c r="B37" s="169"/>
      <c r="C37" s="38">
        <v>4823114082450</v>
      </c>
      <c r="D37" s="38" t="s">
        <v>455</v>
      </c>
      <c r="E37" s="38">
        <v>140929</v>
      </c>
      <c r="F37" s="39" t="s">
        <v>454</v>
      </c>
      <c r="G37" s="40" t="s">
        <v>19</v>
      </c>
      <c r="H37" s="122">
        <v>484.73500000000001</v>
      </c>
      <c r="I37" s="122">
        <v>969.47</v>
      </c>
      <c r="J37" s="78"/>
    </row>
    <row r="38" spans="1:10" ht="15">
      <c r="A38" s="112"/>
      <c r="B38" s="173"/>
      <c r="C38" s="38">
        <v>4823114082467</v>
      </c>
      <c r="D38" s="38" t="s">
        <v>456</v>
      </c>
      <c r="E38" s="38">
        <v>140930</v>
      </c>
      <c r="F38" s="39" t="s">
        <v>457</v>
      </c>
      <c r="G38" s="40" t="s">
        <v>16</v>
      </c>
      <c r="H38" s="122">
        <v>654.39949999999999</v>
      </c>
      <c r="I38" s="122">
        <v>1308.799</v>
      </c>
      <c r="J38" s="78"/>
    </row>
    <row r="39" spans="1:10" ht="15">
      <c r="A39" s="112"/>
      <c r="B39" s="173"/>
      <c r="C39" s="38">
        <v>4823114082474</v>
      </c>
      <c r="D39" s="38" t="s">
        <v>458</v>
      </c>
      <c r="E39" s="38">
        <v>140931</v>
      </c>
      <c r="F39" s="39" t="s">
        <v>457</v>
      </c>
      <c r="G39" s="40" t="s">
        <v>19</v>
      </c>
      <c r="H39" s="122">
        <v>654.39949999999999</v>
      </c>
      <c r="I39" s="122">
        <v>1308.799</v>
      </c>
      <c r="J39" s="78"/>
    </row>
    <row r="40" spans="1:10" ht="15">
      <c r="A40" s="1"/>
      <c r="B40" s="74"/>
      <c r="C40" s="170"/>
      <c r="D40" s="170"/>
      <c r="E40" s="170"/>
      <c r="F40" s="170"/>
      <c r="G40" s="156"/>
      <c r="H40" s="156"/>
      <c r="I40" s="156"/>
      <c r="J40" s="1"/>
    </row>
    <row r="41" spans="1:10" ht="15">
      <c r="A41" s="1"/>
      <c r="B41" s="2"/>
      <c r="C41" s="3"/>
      <c r="D41" s="3"/>
      <c r="E41" s="3"/>
      <c r="F41" s="3"/>
      <c r="G41" s="4"/>
      <c r="H41" s="4"/>
      <c r="I41" s="4"/>
      <c r="J41" s="1"/>
    </row>
    <row r="42" spans="1:10" ht="15">
      <c r="A42" s="1"/>
      <c r="B42" s="2"/>
      <c r="C42" s="3"/>
      <c r="D42" s="3"/>
      <c r="E42" s="3"/>
      <c r="F42" s="3"/>
      <c r="G42" s="4"/>
      <c r="H42" s="4"/>
      <c r="I42" s="4"/>
      <c r="J42" s="1"/>
    </row>
    <row r="43" spans="1:10" ht="15">
      <c r="A43" s="1"/>
      <c r="B43" s="2"/>
      <c r="C43" s="3"/>
      <c r="D43" s="3"/>
      <c r="E43" s="3"/>
      <c r="F43" s="3"/>
      <c r="G43" s="4"/>
      <c r="H43" s="4"/>
      <c r="I43" s="4"/>
      <c r="J43" s="1"/>
    </row>
    <row r="44" spans="1:10" ht="15">
      <c r="A44" s="1"/>
      <c r="B44" s="2"/>
      <c r="C44" s="3"/>
      <c r="D44" s="3"/>
      <c r="E44" s="3"/>
      <c r="F44" s="3"/>
      <c r="G44" s="4"/>
      <c r="H44" s="4"/>
      <c r="I44" s="4"/>
      <c r="J44" s="1"/>
    </row>
    <row r="45" spans="1:10" ht="15">
      <c r="A45" s="1"/>
      <c r="B45" s="2"/>
      <c r="C45" s="3"/>
      <c r="D45" s="3"/>
      <c r="E45" s="3"/>
      <c r="F45" s="3"/>
      <c r="G45" s="4"/>
      <c r="H45" s="4"/>
      <c r="I45" s="4"/>
      <c r="J45" s="1"/>
    </row>
    <row r="46" spans="1:10" ht="15">
      <c r="A46" s="1"/>
      <c r="B46" s="2"/>
      <c r="C46" s="3"/>
      <c r="D46" s="3"/>
      <c r="E46" s="3"/>
      <c r="F46" s="3"/>
      <c r="G46" s="4"/>
      <c r="H46" s="4"/>
      <c r="I46" s="4"/>
      <c r="J46" s="1"/>
    </row>
    <row r="47" spans="1:10" ht="15">
      <c r="A47" s="1"/>
      <c r="B47" s="2"/>
      <c r="C47" s="3"/>
      <c r="D47" s="3"/>
      <c r="E47" s="3"/>
      <c r="F47" s="3"/>
      <c r="G47" s="4"/>
      <c r="H47" s="4"/>
      <c r="I47" s="4"/>
      <c r="J47" s="1"/>
    </row>
    <row r="48" spans="1:10" ht="15">
      <c r="A48" s="1"/>
      <c r="B48" s="2"/>
      <c r="C48" s="3"/>
      <c r="D48" s="3"/>
      <c r="E48" s="3"/>
      <c r="F48" s="3"/>
      <c r="G48" s="4"/>
      <c r="H48" s="4"/>
      <c r="I48" s="4"/>
      <c r="J48" s="1"/>
    </row>
    <row r="49" spans="1:10" ht="15">
      <c r="A49" s="1"/>
      <c r="B49" s="2"/>
      <c r="C49" s="3"/>
      <c r="D49" s="3"/>
      <c r="E49" s="3"/>
      <c r="F49" s="3"/>
      <c r="G49" s="4"/>
      <c r="H49" s="4"/>
      <c r="I49" s="4"/>
      <c r="J49" s="1"/>
    </row>
    <row r="50" spans="1:10" ht="15">
      <c r="A50" s="1"/>
      <c r="B50" s="2"/>
      <c r="C50" s="3"/>
      <c r="D50" s="3"/>
      <c r="E50" s="3"/>
      <c r="F50" s="3"/>
      <c r="G50" s="4"/>
      <c r="H50" s="4"/>
      <c r="I50" s="4"/>
      <c r="J50" s="1"/>
    </row>
    <row r="51" spans="1:10" ht="15">
      <c r="A51" s="1"/>
      <c r="B51" s="2"/>
      <c r="C51" s="3"/>
      <c r="D51" s="3"/>
      <c r="E51" s="3"/>
      <c r="F51" s="3"/>
      <c r="G51" s="4"/>
      <c r="H51" s="4"/>
      <c r="I51" s="4"/>
      <c r="J51" s="1"/>
    </row>
    <row r="52" spans="1:10" ht="15">
      <c r="A52" s="1"/>
      <c r="B52" s="2"/>
      <c r="C52" s="3"/>
      <c r="D52" s="3"/>
      <c r="E52" s="3"/>
      <c r="F52" s="3"/>
      <c r="G52" s="4"/>
      <c r="H52" s="4"/>
      <c r="I52" s="4"/>
      <c r="J52" s="1"/>
    </row>
    <row r="53" spans="1:10" ht="15">
      <c r="A53" s="1"/>
      <c r="B53" s="2"/>
      <c r="C53" s="3"/>
      <c r="D53" s="3"/>
      <c r="E53" s="3"/>
      <c r="F53" s="3"/>
      <c r="G53" s="4"/>
      <c r="H53" s="4"/>
      <c r="I53" s="4"/>
      <c r="J53" s="1"/>
    </row>
    <row r="54" spans="1:10" ht="15">
      <c r="A54" s="1"/>
      <c r="B54" s="2"/>
      <c r="C54" s="3"/>
      <c r="D54" s="3"/>
      <c r="E54" s="3"/>
      <c r="F54" s="3"/>
      <c r="G54" s="4"/>
      <c r="H54" s="4"/>
      <c r="I54" s="4"/>
      <c r="J54" s="1"/>
    </row>
    <row r="55" spans="1:10" ht="15">
      <c r="A55" s="1"/>
      <c r="B55" s="2"/>
      <c r="C55" s="3"/>
      <c r="D55" s="3"/>
      <c r="E55" s="3"/>
      <c r="F55" s="3"/>
      <c r="G55" s="4"/>
      <c r="H55" s="4"/>
      <c r="I55" s="4"/>
      <c r="J55" s="1"/>
    </row>
  </sheetData>
  <mergeCells count="6">
    <mergeCell ref="B5:E5"/>
    <mergeCell ref="B2:B3"/>
    <mergeCell ref="C2:E3"/>
    <mergeCell ref="H2:I2"/>
    <mergeCell ref="G3:I3"/>
    <mergeCell ref="H4:I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860"/>
  <sheetViews>
    <sheetView workbookViewId="0">
      <selection activeCell="J1" sqref="J1:J1048576"/>
    </sheetView>
  </sheetViews>
  <sheetFormatPr baseColWidth="10" defaultColWidth="12.5703125" defaultRowHeight="15.75" customHeight="1"/>
  <cols>
    <col min="1" max="1" width="3.42578125" customWidth="1"/>
    <col min="3" max="3" width="15.5703125" customWidth="1"/>
    <col min="4" max="4" width="15.140625" customWidth="1"/>
    <col min="5" max="5" width="9.42578125" customWidth="1"/>
    <col min="6" max="6" width="43.5703125" customWidth="1"/>
    <col min="7" max="7" width="11.42578125" customWidth="1"/>
    <col min="8" max="8" width="12.42578125" customWidth="1"/>
    <col min="9" max="9" width="14.140625" customWidth="1"/>
    <col min="10" max="10" width="3" customWidth="1"/>
  </cols>
  <sheetData>
    <row r="1" spans="1:10" ht="15">
      <c r="A1" s="1"/>
      <c r="B1" s="2"/>
      <c r="C1" s="3"/>
      <c r="D1" s="3"/>
      <c r="E1" s="3"/>
      <c r="F1" s="3"/>
      <c r="G1" s="3"/>
      <c r="H1" s="3"/>
      <c r="I1" s="3"/>
      <c r="J1" s="3"/>
    </row>
    <row r="2" spans="1:10" ht="20.25" customHeight="1">
      <c r="A2" s="1"/>
      <c r="B2" s="294"/>
      <c r="C2" s="296" t="s">
        <v>0</v>
      </c>
      <c r="D2" s="297"/>
      <c r="E2" s="298"/>
      <c r="F2" s="3"/>
      <c r="G2" s="163"/>
      <c r="H2" s="306"/>
      <c r="I2" s="303"/>
      <c r="J2" s="104"/>
    </row>
    <row r="3" spans="1:10" ht="18.75" customHeight="1">
      <c r="A3" s="1"/>
      <c r="B3" s="295"/>
      <c r="C3" s="299"/>
      <c r="D3" s="300"/>
      <c r="E3" s="301"/>
      <c r="F3" s="3"/>
      <c r="G3" s="302"/>
      <c r="H3" s="306"/>
      <c r="I3" s="303"/>
      <c r="J3" s="104"/>
    </row>
    <row r="4" spans="1:10" ht="12" customHeight="1">
      <c r="A4" s="1"/>
      <c r="B4" s="2"/>
      <c r="C4" s="3"/>
      <c r="D4" s="3"/>
      <c r="E4" s="3"/>
      <c r="F4" s="3"/>
      <c r="G4" s="163"/>
      <c r="H4" s="306"/>
      <c r="I4" s="303"/>
      <c r="J4" s="104"/>
    </row>
    <row r="5" spans="1:10" ht="15">
      <c r="A5" s="2"/>
      <c r="B5" s="305" t="s">
        <v>1208</v>
      </c>
      <c r="C5" s="306"/>
      <c r="D5" s="306"/>
      <c r="E5" s="303"/>
      <c r="F5" s="9"/>
      <c r="G5" s="10"/>
      <c r="H5" s="10"/>
      <c r="I5" s="10"/>
      <c r="J5" s="2"/>
    </row>
    <row r="6" spans="1:10" ht="15">
      <c r="A6" s="43"/>
      <c r="B6" s="9"/>
      <c r="C6" s="96"/>
      <c r="D6" s="96"/>
      <c r="E6" s="9"/>
      <c r="F6" s="9"/>
      <c r="G6" s="10"/>
      <c r="H6" s="115"/>
      <c r="I6" s="10"/>
      <c r="J6" s="2"/>
    </row>
    <row r="7" spans="1:10" ht="15">
      <c r="A7" s="43"/>
      <c r="B7" s="51" t="s">
        <v>459</v>
      </c>
      <c r="C7" s="165"/>
      <c r="D7" s="165"/>
      <c r="E7" s="166"/>
      <c r="F7" s="166"/>
      <c r="G7" s="167"/>
      <c r="H7" s="164"/>
      <c r="I7" s="51"/>
      <c r="J7" s="2"/>
    </row>
    <row r="8" spans="1:10" ht="15">
      <c r="A8" s="43"/>
      <c r="B8" s="12"/>
      <c r="C8" s="168"/>
      <c r="D8" s="168"/>
      <c r="E8" s="12"/>
      <c r="F8" s="12"/>
      <c r="G8" s="12"/>
      <c r="H8" s="43"/>
      <c r="I8" s="2"/>
      <c r="J8" s="2"/>
    </row>
    <row r="9" spans="1:10" ht="30">
      <c r="A9" s="43"/>
      <c r="B9" s="16" t="s">
        <v>4</v>
      </c>
      <c r="C9" s="55" t="s">
        <v>5</v>
      </c>
      <c r="D9" s="55" t="s">
        <v>6</v>
      </c>
      <c r="E9" s="56" t="s">
        <v>7</v>
      </c>
      <c r="F9" s="56" t="s">
        <v>8</v>
      </c>
      <c r="G9" s="16" t="s">
        <v>9</v>
      </c>
      <c r="H9" s="58" t="s">
        <v>11</v>
      </c>
      <c r="I9" s="21" t="s">
        <v>12</v>
      </c>
      <c r="J9" s="2"/>
    </row>
    <row r="10" spans="1:10" ht="15">
      <c r="A10" s="43"/>
      <c r="B10" s="154" t="s">
        <v>13</v>
      </c>
      <c r="C10" s="61">
        <v>4823114066955</v>
      </c>
      <c r="D10" s="61" t="s">
        <v>460</v>
      </c>
      <c r="E10" s="61">
        <v>111567</v>
      </c>
      <c r="F10" s="25" t="s">
        <v>461</v>
      </c>
      <c r="G10" s="175" t="s">
        <v>16</v>
      </c>
      <c r="H10" s="26">
        <v>147.54</v>
      </c>
      <c r="I10" s="176">
        <v>295.08</v>
      </c>
      <c r="J10" s="79"/>
    </row>
    <row r="11" spans="1:10" ht="15">
      <c r="A11" s="43"/>
      <c r="B11" s="154" t="s">
        <v>13</v>
      </c>
      <c r="C11" s="61">
        <v>4823114066962</v>
      </c>
      <c r="D11" s="61" t="s">
        <v>462</v>
      </c>
      <c r="E11" s="61">
        <v>111566</v>
      </c>
      <c r="F11" s="177" t="s">
        <v>461</v>
      </c>
      <c r="G11" s="178" t="s">
        <v>19</v>
      </c>
      <c r="H11" s="26">
        <v>147.54</v>
      </c>
      <c r="I11" s="176">
        <v>295.08</v>
      </c>
      <c r="J11" s="79"/>
    </row>
    <row r="12" spans="1:10" ht="15">
      <c r="A12" s="43"/>
      <c r="B12" s="9"/>
      <c r="C12" s="96"/>
      <c r="D12" s="96"/>
      <c r="E12" s="9"/>
      <c r="F12" s="9"/>
      <c r="G12" s="10"/>
      <c r="H12" s="115"/>
      <c r="I12" s="10"/>
      <c r="J12" s="2"/>
    </row>
    <row r="13" spans="1:10" ht="15">
      <c r="A13" s="43"/>
      <c r="B13" s="51" t="s">
        <v>463</v>
      </c>
      <c r="C13" s="165"/>
      <c r="D13" s="165"/>
      <c r="E13" s="166"/>
      <c r="F13" s="166"/>
      <c r="G13" s="167"/>
      <c r="H13" s="164"/>
      <c r="I13" s="51"/>
      <c r="J13" s="2"/>
    </row>
    <row r="14" spans="1:10" ht="15">
      <c r="A14" s="43"/>
      <c r="B14" s="12"/>
      <c r="C14" s="168"/>
      <c r="D14" s="168"/>
      <c r="E14" s="12"/>
      <c r="F14" s="12"/>
      <c r="G14" s="12"/>
      <c r="H14" s="43"/>
      <c r="I14" s="2"/>
      <c r="J14" s="2"/>
    </row>
    <row r="15" spans="1:10" ht="30">
      <c r="A15" s="43"/>
      <c r="B15" s="16" t="s">
        <v>4</v>
      </c>
      <c r="C15" s="55" t="s">
        <v>5</v>
      </c>
      <c r="D15" s="55" t="s">
        <v>6</v>
      </c>
      <c r="E15" s="56" t="s">
        <v>7</v>
      </c>
      <c r="F15" s="56" t="s">
        <v>8</v>
      </c>
      <c r="G15" s="16" t="s">
        <v>9</v>
      </c>
      <c r="H15" s="58" t="s">
        <v>11</v>
      </c>
      <c r="I15" s="21" t="s">
        <v>12</v>
      </c>
      <c r="J15" s="2"/>
    </row>
    <row r="16" spans="1:10" ht="15">
      <c r="A16" s="43"/>
      <c r="B16" s="154" t="s">
        <v>13</v>
      </c>
      <c r="C16" s="61">
        <v>4823114066146</v>
      </c>
      <c r="D16" s="61" t="s">
        <v>464</v>
      </c>
      <c r="E16" s="61">
        <v>66391</v>
      </c>
      <c r="F16" s="25" t="s">
        <v>465</v>
      </c>
      <c r="G16" s="175" t="s">
        <v>16</v>
      </c>
      <c r="H16" s="27">
        <v>177.05</v>
      </c>
      <c r="I16" s="28">
        <v>354.1</v>
      </c>
      <c r="J16" s="79"/>
    </row>
    <row r="17" spans="1:10" ht="15">
      <c r="A17" s="43"/>
      <c r="B17" s="154" t="s">
        <v>13</v>
      </c>
      <c r="C17" s="61">
        <v>4823114066153</v>
      </c>
      <c r="D17" s="61" t="s">
        <v>466</v>
      </c>
      <c r="E17" s="61">
        <v>66392</v>
      </c>
      <c r="F17" s="25" t="s">
        <v>465</v>
      </c>
      <c r="G17" s="179" t="s">
        <v>148</v>
      </c>
      <c r="H17" s="27">
        <v>177.05</v>
      </c>
      <c r="I17" s="28">
        <v>354.1</v>
      </c>
      <c r="J17" s="79"/>
    </row>
    <row r="18" spans="1:10" ht="15">
      <c r="A18" s="43"/>
      <c r="B18" s="154" t="s">
        <v>13</v>
      </c>
      <c r="C18" s="61">
        <v>4823114066160</v>
      </c>
      <c r="D18" s="61" t="s">
        <v>467</v>
      </c>
      <c r="E18" s="61">
        <v>66393</v>
      </c>
      <c r="F18" s="180" t="s">
        <v>465</v>
      </c>
      <c r="G18" s="181" t="s">
        <v>468</v>
      </c>
      <c r="H18" s="27">
        <v>177.05</v>
      </c>
      <c r="I18" s="28">
        <v>354.1</v>
      </c>
      <c r="J18" s="79"/>
    </row>
    <row r="19" spans="1:10" ht="15">
      <c r="A19" s="43"/>
      <c r="B19" s="154" t="s">
        <v>13</v>
      </c>
      <c r="C19" s="61">
        <v>4823114066139</v>
      </c>
      <c r="D19" s="61" t="s">
        <v>469</v>
      </c>
      <c r="E19" s="61">
        <v>66390</v>
      </c>
      <c r="F19" s="180" t="s">
        <v>465</v>
      </c>
      <c r="G19" s="35" t="s">
        <v>19</v>
      </c>
      <c r="H19" s="27">
        <v>177.05</v>
      </c>
      <c r="I19" s="28">
        <v>354.1</v>
      </c>
      <c r="J19" s="79"/>
    </row>
    <row r="20" spans="1:10" ht="15">
      <c r="A20" s="43"/>
      <c r="B20" s="9"/>
      <c r="C20" s="96"/>
      <c r="D20" s="96"/>
      <c r="E20" s="9"/>
      <c r="F20" s="9"/>
      <c r="G20" s="76"/>
      <c r="H20" s="115"/>
      <c r="I20" s="10"/>
      <c r="J20" s="2"/>
    </row>
    <row r="21" spans="1:10" ht="15">
      <c r="A21" s="164"/>
      <c r="B21" s="51" t="s">
        <v>418</v>
      </c>
      <c r="C21" s="165"/>
      <c r="D21" s="165"/>
      <c r="E21" s="166"/>
      <c r="F21" s="166"/>
      <c r="G21" s="167"/>
      <c r="H21" s="164"/>
      <c r="I21" s="51"/>
      <c r="J21" s="51"/>
    </row>
    <row r="22" spans="1:10" ht="15">
      <c r="A22" s="43"/>
      <c r="B22" s="12"/>
      <c r="C22" s="168"/>
      <c r="D22" s="168"/>
      <c r="E22" s="12"/>
      <c r="F22" s="12"/>
      <c r="G22" s="12"/>
      <c r="H22" s="43"/>
      <c r="I22" s="2"/>
      <c r="J22" s="2"/>
    </row>
    <row r="23" spans="1:10" ht="30">
      <c r="A23" s="43"/>
      <c r="B23" s="16" t="s">
        <v>4</v>
      </c>
      <c r="C23" s="55" t="s">
        <v>5</v>
      </c>
      <c r="D23" s="55" t="s">
        <v>6</v>
      </c>
      <c r="E23" s="56" t="s">
        <v>7</v>
      </c>
      <c r="F23" s="56" t="s">
        <v>8</v>
      </c>
      <c r="G23" s="16" t="s">
        <v>9</v>
      </c>
      <c r="H23" s="58" t="s">
        <v>11</v>
      </c>
      <c r="I23" s="21" t="s">
        <v>12</v>
      </c>
      <c r="J23" s="2"/>
    </row>
    <row r="24" spans="1:10" ht="15">
      <c r="A24" s="43"/>
      <c r="B24" s="182" t="s">
        <v>13</v>
      </c>
      <c r="C24" s="183">
        <v>4823114046278</v>
      </c>
      <c r="D24" s="183" t="s">
        <v>470</v>
      </c>
      <c r="E24" s="183">
        <v>64924</v>
      </c>
      <c r="F24" s="177" t="s">
        <v>471</v>
      </c>
      <c r="G24" s="178" t="s">
        <v>16</v>
      </c>
      <c r="H24" s="71">
        <v>106.92</v>
      </c>
      <c r="I24" s="71">
        <v>213.84</v>
      </c>
      <c r="J24" s="2"/>
    </row>
    <row r="25" spans="1:10" ht="15">
      <c r="A25" s="43"/>
      <c r="B25" s="182" t="s">
        <v>13</v>
      </c>
      <c r="C25" s="183">
        <v>4823114046285</v>
      </c>
      <c r="D25" s="183" t="s">
        <v>472</v>
      </c>
      <c r="E25" s="183">
        <v>64923</v>
      </c>
      <c r="F25" s="177" t="s">
        <v>471</v>
      </c>
      <c r="G25" s="178" t="s">
        <v>19</v>
      </c>
      <c r="H25" s="71">
        <v>106.92</v>
      </c>
      <c r="I25" s="71">
        <v>213.84</v>
      </c>
      <c r="J25" s="2"/>
    </row>
    <row r="26" spans="1:10" ht="15">
      <c r="A26" s="43"/>
      <c r="B26" s="182" t="s">
        <v>13</v>
      </c>
      <c r="C26" s="183">
        <v>4823114046292</v>
      </c>
      <c r="D26" s="183" t="s">
        <v>473</v>
      </c>
      <c r="E26" s="183">
        <v>64926</v>
      </c>
      <c r="F26" s="177" t="s">
        <v>474</v>
      </c>
      <c r="G26" s="178" t="s">
        <v>16</v>
      </c>
      <c r="H26" s="71">
        <v>106.92</v>
      </c>
      <c r="I26" s="71">
        <v>213.84</v>
      </c>
      <c r="J26" s="2"/>
    </row>
    <row r="27" spans="1:10" ht="15">
      <c r="A27" s="43"/>
      <c r="B27" s="182" t="s">
        <v>13</v>
      </c>
      <c r="C27" s="183">
        <v>4823114046308</v>
      </c>
      <c r="D27" s="183" t="s">
        <v>475</v>
      </c>
      <c r="E27" s="183">
        <v>64925</v>
      </c>
      <c r="F27" s="177" t="s">
        <v>474</v>
      </c>
      <c r="G27" s="178" t="s">
        <v>19</v>
      </c>
      <c r="H27" s="71">
        <v>106.92</v>
      </c>
      <c r="I27" s="71">
        <v>213.84</v>
      </c>
      <c r="J27" s="2"/>
    </row>
    <row r="28" spans="1:10" ht="15">
      <c r="A28" s="43"/>
      <c r="B28" s="182" t="s">
        <v>13</v>
      </c>
      <c r="C28" s="183">
        <v>4823114046315</v>
      </c>
      <c r="D28" s="183" t="s">
        <v>476</v>
      </c>
      <c r="E28" s="183">
        <v>64928</v>
      </c>
      <c r="F28" s="177" t="s">
        <v>477</v>
      </c>
      <c r="G28" s="178" t="s">
        <v>16</v>
      </c>
      <c r="H28" s="71">
        <v>142.56</v>
      </c>
      <c r="I28" s="71">
        <v>285.12</v>
      </c>
      <c r="J28" s="2"/>
    </row>
    <row r="29" spans="1:10" ht="15">
      <c r="A29" s="43"/>
      <c r="B29" s="182" t="s">
        <v>13</v>
      </c>
      <c r="C29" s="183">
        <v>4823114046322</v>
      </c>
      <c r="D29" s="183" t="s">
        <v>478</v>
      </c>
      <c r="E29" s="183">
        <v>64927</v>
      </c>
      <c r="F29" s="177" t="s">
        <v>477</v>
      </c>
      <c r="G29" s="178" t="s">
        <v>19</v>
      </c>
      <c r="H29" s="71">
        <v>142.56</v>
      </c>
      <c r="I29" s="71">
        <v>285.12</v>
      </c>
      <c r="J29" s="2"/>
    </row>
    <row r="30" spans="1:10" ht="15">
      <c r="A30" s="43"/>
      <c r="B30" s="182" t="s">
        <v>13</v>
      </c>
      <c r="C30" s="183">
        <v>4823114046339</v>
      </c>
      <c r="D30" s="183" t="s">
        <v>479</v>
      </c>
      <c r="E30" s="183">
        <v>64930</v>
      </c>
      <c r="F30" s="177" t="s">
        <v>480</v>
      </c>
      <c r="G30" s="178" t="s">
        <v>16</v>
      </c>
      <c r="H30" s="71">
        <v>142.56</v>
      </c>
      <c r="I30" s="71">
        <v>285.12</v>
      </c>
      <c r="J30" s="2"/>
    </row>
    <row r="31" spans="1:10" ht="15">
      <c r="A31" s="43"/>
      <c r="B31" s="182" t="s">
        <v>13</v>
      </c>
      <c r="C31" s="183">
        <v>4823114046346</v>
      </c>
      <c r="D31" s="183" t="s">
        <v>481</v>
      </c>
      <c r="E31" s="183">
        <v>64929</v>
      </c>
      <c r="F31" s="177" t="s">
        <v>480</v>
      </c>
      <c r="G31" s="178" t="s">
        <v>19</v>
      </c>
      <c r="H31" s="71">
        <v>142.56</v>
      </c>
      <c r="I31" s="71">
        <v>285.12</v>
      </c>
      <c r="J31" s="2"/>
    </row>
    <row r="32" spans="1:10" ht="15">
      <c r="A32" s="43"/>
      <c r="B32" s="182" t="s">
        <v>13</v>
      </c>
      <c r="C32" s="183">
        <v>4823114050640</v>
      </c>
      <c r="D32" s="183" t="s">
        <v>482</v>
      </c>
      <c r="E32" s="183">
        <v>79024</v>
      </c>
      <c r="F32" s="177" t="s">
        <v>483</v>
      </c>
      <c r="G32" s="178" t="s">
        <v>16</v>
      </c>
      <c r="H32" s="71">
        <v>106.92</v>
      </c>
      <c r="I32" s="71">
        <v>213.84</v>
      </c>
      <c r="J32" s="2"/>
    </row>
    <row r="33" spans="1:10" ht="15">
      <c r="A33" s="43"/>
      <c r="B33" s="182" t="s">
        <v>13</v>
      </c>
      <c r="C33" s="183">
        <v>4823114050688</v>
      </c>
      <c r="D33" s="183" t="s">
        <v>484</v>
      </c>
      <c r="E33" s="183">
        <v>79028</v>
      </c>
      <c r="F33" s="177" t="s">
        <v>483</v>
      </c>
      <c r="G33" s="178" t="s">
        <v>19</v>
      </c>
      <c r="H33" s="71">
        <v>106.92</v>
      </c>
      <c r="I33" s="71">
        <v>213.84</v>
      </c>
      <c r="J33" s="2"/>
    </row>
    <row r="34" spans="1:10" ht="15">
      <c r="A34" s="43"/>
      <c r="B34" s="182" t="s">
        <v>13</v>
      </c>
      <c r="C34" s="183">
        <v>4823114050657</v>
      </c>
      <c r="D34" s="183" t="s">
        <v>485</v>
      </c>
      <c r="E34" s="183">
        <v>79025</v>
      </c>
      <c r="F34" s="177" t="s">
        <v>486</v>
      </c>
      <c r="G34" s="178" t="s">
        <v>16</v>
      </c>
      <c r="H34" s="71">
        <v>106.92</v>
      </c>
      <c r="I34" s="71">
        <v>213.84</v>
      </c>
      <c r="J34" s="2"/>
    </row>
    <row r="35" spans="1:10" ht="15">
      <c r="A35" s="43"/>
      <c r="B35" s="182" t="s">
        <v>13</v>
      </c>
      <c r="C35" s="183">
        <v>4823114050695</v>
      </c>
      <c r="D35" s="183" t="s">
        <v>487</v>
      </c>
      <c r="E35" s="183">
        <v>79029</v>
      </c>
      <c r="F35" s="177" t="s">
        <v>486</v>
      </c>
      <c r="G35" s="178" t="s">
        <v>19</v>
      </c>
      <c r="H35" s="71">
        <v>106.92</v>
      </c>
      <c r="I35" s="71">
        <v>213.84</v>
      </c>
      <c r="J35" s="2"/>
    </row>
    <row r="36" spans="1:10" ht="15">
      <c r="A36" s="43"/>
      <c r="B36" s="182" t="s">
        <v>13</v>
      </c>
      <c r="C36" s="183">
        <v>4823114050664</v>
      </c>
      <c r="D36" s="183" t="s">
        <v>488</v>
      </c>
      <c r="E36" s="183">
        <v>79026</v>
      </c>
      <c r="F36" s="177" t="s">
        <v>489</v>
      </c>
      <c r="G36" s="178" t="s">
        <v>16</v>
      </c>
      <c r="H36" s="71">
        <v>142.56</v>
      </c>
      <c r="I36" s="71">
        <v>285.12</v>
      </c>
      <c r="J36" s="2"/>
    </row>
    <row r="37" spans="1:10" ht="15">
      <c r="A37" s="43"/>
      <c r="B37" s="182" t="s">
        <v>13</v>
      </c>
      <c r="C37" s="183">
        <v>4823114050701</v>
      </c>
      <c r="D37" s="183" t="s">
        <v>490</v>
      </c>
      <c r="E37" s="183">
        <v>79030</v>
      </c>
      <c r="F37" s="177" t="s">
        <v>489</v>
      </c>
      <c r="G37" s="178" t="s">
        <v>19</v>
      </c>
      <c r="H37" s="71">
        <v>142.56</v>
      </c>
      <c r="I37" s="71">
        <v>285.12</v>
      </c>
      <c r="J37" s="2"/>
    </row>
    <row r="38" spans="1:10" ht="15">
      <c r="A38" s="43"/>
      <c r="B38" s="182" t="s">
        <v>13</v>
      </c>
      <c r="C38" s="183">
        <v>4823114050671</v>
      </c>
      <c r="D38" s="183" t="s">
        <v>491</v>
      </c>
      <c r="E38" s="183">
        <v>79027</v>
      </c>
      <c r="F38" s="177" t="s">
        <v>492</v>
      </c>
      <c r="G38" s="178" t="s">
        <v>16</v>
      </c>
      <c r="H38" s="71">
        <v>142.56</v>
      </c>
      <c r="I38" s="71">
        <v>285.12</v>
      </c>
      <c r="J38" s="2"/>
    </row>
    <row r="39" spans="1:10" ht="15">
      <c r="A39" s="43"/>
      <c r="B39" s="182" t="s">
        <v>13</v>
      </c>
      <c r="C39" s="183">
        <v>4823114050718</v>
      </c>
      <c r="D39" s="183" t="s">
        <v>493</v>
      </c>
      <c r="E39" s="183">
        <v>79031</v>
      </c>
      <c r="F39" s="177" t="s">
        <v>492</v>
      </c>
      <c r="G39" s="178" t="s">
        <v>19</v>
      </c>
      <c r="H39" s="71">
        <v>142.56</v>
      </c>
      <c r="I39" s="71">
        <v>285.12</v>
      </c>
      <c r="J39" s="2"/>
    </row>
    <row r="40" spans="1:10" ht="15">
      <c r="A40" s="43"/>
      <c r="B40" s="182" t="s">
        <v>13</v>
      </c>
      <c r="C40" s="183">
        <v>4823114047824</v>
      </c>
      <c r="D40" s="183" t="s">
        <v>494</v>
      </c>
      <c r="E40" s="183">
        <v>76019</v>
      </c>
      <c r="F40" s="177" t="s">
        <v>495</v>
      </c>
      <c r="G40" s="178" t="s">
        <v>16</v>
      </c>
      <c r="H40" s="71">
        <v>106.92</v>
      </c>
      <c r="I40" s="71">
        <v>213.84</v>
      </c>
      <c r="J40" s="2"/>
    </row>
    <row r="41" spans="1:10" ht="15">
      <c r="A41" s="43"/>
      <c r="B41" s="182" t="s">
        <v>13</v>
      </c>
      <c r="C41" s="183">
        <v>4823114047817</v>
      </c>
      <c r="D41" s="183" t="s">
        <v>496</v>
      </c>
      <c r="E41" s="183">
        <v>76018</v>
      </c>
      <c r="F41" s="177" t="s">
        <v>495</v>
      </c>
      <c r="G41" s="178" t="s">
        <v>19</v>
      </c>
      <c r="H41" s="71">
        <v>106.92</v>
      </c>
      <c r="I41" s="71">
        <v>213.84</v>
      </c>
      <c r="J41" s="2"/>
    </row>
    <row r="42" spans="1:10" ht="15">
      <c r="A42" s="43"/>
      <c r="B42" s="182" t="s">
        <v>13</v>
      </c>
      <c r="C42" s="183">
        <v>4823114047848</v>
      </c>
      <c r="D42" s="183" t="s">
        <v>497</v>
      </c>
      <c r="E42" s="183">
        <v>76021</v>
      </c>
      <c r="F42" s="177" t="s">
        <v>498</v>
      </c>
      <c r="G42" s="178" t="s">
        <v>16</v>
      </c>
      <c r="H42" s="71">
        <v>106.92</v>
      </c>
      <c r="I42" s="71">
        <v>213.84</v>
      </c>
      <c r="J42" s="2"/>
    </row>
    <row r="43" spans="1:10" ht="15">
      <c r="A43" s="43"/>
      <c r="B43" s="182" t="s">
        <v>13</v>
      </c>
      <c r="C43" s="183">
        <v>4823114047831</v>
      </c>
      <c r="D43" s="183" t="s">
        <v>499</v>
      </c>
      <c r="E43" s="183">
        <v>76020</v>
      </c>
      <c r="F43" s="177" t="s">
        <v>498</v>
      </c>
      <c r="G43" s="178" t="s">
        <v>19</v>
      </c>
      <c r="H43" s="71">
        <v>106.92</v>
      </c>
      <c r="I43" s="71">
        <v>213.84</v>
      </c>
      <c r="J43" s="2"/>
    </row>
    <row r="44" spans="1:10" ht="15">
      <c r="A44" s="43"/>
      <c r="B44" s="182" t="s">
        <v>13</v>
      </c>
      <c r="C44" s="183">
        <v>4823114047862</v>
      </c>
      <c r="D44" s="183" t="s">
        <v>500</v>
      </c>
      <c r="E44" s="183">
        <v>76023</v>
      </c>
      <c r="F44" s="177" t="s">
        <v>501</v>
      </c>
      <c r="G44" s="178" t="s">
        <v>16</v>
      </c>
      <c r="H44" s="71">
        <v>142.56</v>
      </c>
      <c r="I44" s="71">
        <v>285.12</v>
      </c>
      <c r="J44" s="2"/>
    </row>
    <row r="45" spans="1:10" ht="15">
      <c r="A45" s="43"/>
      <c r="B45" s="182" t="s">
        <v>13</v>
      </c>
      <c r="C45" s="183">
        <v>4823114047855</v>
      </c>
      <c r="D45" s="183" t="s">
        <v>502</v>
      </c>
      <c r="E45" s="183">
        <v>76022</v>
      </c>
      <c r="F45" s="177" t="s">
        <v>501</v>
      </c>
      <c r="G45" s="178" t="s">
        <v>19</v>
      </c>
      <c r="H45" s="71">
        <v>142.56</v>
      </c>
      <c r="I45" s="71">
        <v>285.12</v>
      </c>
      <c r="J45" s="2"/>
    </row>
    <row r="46" spans="1:10" ht="15">
      <c r="A46" s="43"/>
      <c r="B46" s="182" t="s">
        <v>13</v>
      </c>
      <c r="C46" s="183">
        <v>4823114047886</v>
      </c>
      <c r="D46" s="183" t="s">
        <v>503</v>
      </c>
      <c r="E46" s="183">
        <v>76025</v>
      </c>
      <c r="F46" s="177" t="s">
        <v>504</v>
      </c>
      <c r="G46" s="178" t="s">
        <v>16</v>
      </c>
      <c r="H46" s="71">
        <v>142.56</v>
      </c>
      <c r="I46" s="71">
        <v>285.12</v>
      </c>
      <c r="J46" s="2"/>
    </row>
    <row r="47" spans="1:10" ht="15">
      <c r="A47" s="43"/>
      <c r="B47" s="184" t="s">
        <v>13</v>
      </c>
      <c r="C47" s="185">
        <v>4823114047879</v>
      </c>
      <c r="D47" s="185" t="s">
        <v>505</v>
      </c>
      <c r="E47" s="185">
        <v>76024</v>
      </c>
      <c r="F47" s="186" t="s">
        <v>504</v>
      </c>
      <c r="G47" s="187" t="s">
        <v>19</v>
      </c>
      <c r="H47" s="71">
        <v>142.56</v>
      </c>
      <c r="I47" s="71">
        <v>285.12</v>
      </c>
      <c r="J47" s="2"/>
    </row>
    <row r="48" spans="1:10" ht="15">
      <c r="A48" s="43"/>
      <c r="B48" s="188" t="s">
        <v>13</v>
      </c>
      <c r="C48" s="32">
        <v>4823114072970</v>
      </c>
      <c r="D48" s="32" t="s">
        <v>506</v>
      </c>
      <c r="E48" s="32">
        <v>126260</v>
      </c>
      <c r="F48" s="34" t="s">
        <v>507</v>
      </c>
      <c r="G48" s="35" t="s">
        <v>16</v>
      </c>
      <c r="H48" s="71">
        <v>130.68</v>
      </c>
      <c r="I48" s="71">
        <v>261.36</v>
      </c>
      <c r="J48" s="79"/>
    </row>
    <row r="49" spans="1:10" ht="15">
      <c r="A49" s="43"/>
      <c r="B49" s="188" t="s">
        <v>13</v>
      </c>
      <c r="C49" s="32">
        <v>4823114072987</v>
      </c>
      <c r="D49" s="32" t="s">
        <v>508</v>
      </c>
      <c r="E49" s="32">
        <v>126261</v>
      </c>
      <c r="F49" s="34" t="s">
        <v>507</v>
      </c>
      <c r="G49" s="35" t="s">
        <v>19</v>
      </c>
      <c r="H49" s="71">
        <v>130.68</v>
      </c>
      <c r="I49" s="71">
        <v>261.36</v>
      </c>
      <c r="J49" s="79"/>
    </row>
    <row r="50" spans="1:10" ht="15">
      <c r="A50" s="43"/>
      <c r="B50" s="188" t="s">
        <v>13</v>
      </c>
      <c r="C50" s="32">
        <v>4823114072994</v>
      </c>
      <c r="D50" s="32" t="s">
        <v>509</v>
      </c>
      <c r="E50" s="32">
        <v>126262</v>
      </c>
      <c r="F50" s="34" t="s">
        <v>510</v>
      </c>
      <c r="G50" s="35" t="s">
        <v>16</v>
      </c>
      <c r="H50" s="71">
        <v>130.68</v>
      </c>
      <c r="I50" s="71">
        <v>261.36</v>
      </c>
      <c r="J50" s="79"/>
    </row>
    <row r="51" spans="1:10" ht="15">
      <c r="A51" s="43"/>
      <c r="B51" s="188" t="s">
        <v>13</v>
      </c>
      <c r="C51" s="32">
        <v>4823114073007</v>
      </c>
      <c r="D51" s="32" t="s">
        <v>511</v>
      </c>
      <c r="E51" s="32">
        <v>126263</v>
      </c>
      <c r="F51" s="34" t="s">
        <v>510</v>
      </c>
      <c r="G51" s="35" t="s">
        <v>19</v>
      </c>
      <c r="H51" s="71">
        <v>130.68</v>
      </c>
      <c r="I51" s="71">
        <v>261.36</v>
      </c>
      <c r="J51" s="79"/>
    </row>
    <row r="52" spans="1:10" ht="15">
      <c r="A52" s="43"/>
      <c r="B52" s="188" t="s">
        <v>13</v>
      </c>
      <c r="C52" s="32">
        <v>4823114073014</v>
      </c>
      <c r="D52" s="32" t="s">
        <v>512</v>
      </c>
      <c r="E52" s="32">
        <v>126264</v>
      </c>
      <c r="F52" s="34" t="s">
        <v>513</v>
      </c>
      <c r="G52" s="35" t="s">
        <v>16</v>
      </c>
      <c r="H52" s="71">
        <v>174.23999999999998</v>
      </c>
      <c r="I52" s="71">
        <v>348.47999999999996</v>
      </c>
      <c r="J52" s="79"/>
    </row>
    <row r="53" spans="1:10" ht="15">
      <c r="A53" s="43"/>
      <c r="B53" s="188" t="s">
        <v>13</v>
      </c>
      <c r="C53" s="32">
        <v>4823114073021</v>
      </c>
      <c r="D53" s="32" t="s">
        <v>514</v>
      </c>
      <c r="E53" s="32">
        <v>126265</v>
      </c>
      <c r="F53" s="34" t="s">
        <v>513</v>
      </c>
      <c r="G53" s="35" t="s">
        <v>19</v>
      </c>
      <c r="H53" s="71">
        <v>174.23999999999998</v>
      </c>
      <c r="I53" s="71">
        <v>348.47999999999996</v>
      </c>
      <c r="J53" s="79"/>
    </row>
    <row r="54" spans="1:10" ht="15">
      <c r="A54" s="43"/>
      <c r="B54" s="188" t="s">
        <v>13</v>
      </c>
      <c r="C54" s="32">
        <v>4823114073038</v>
      </c>
      <c r="D54" s="32" t="s">
        <v>515</v>
      </c>
      <c r="E54" s="32">
        <v>126266</v>
      </c>
      <c r="F54" s="34" t="s">
        <v>516</v>
      </c>
      <c r="G54" s="35" t="s">
        <v>16</v>
      </c>
      <c r="H54" s="71">
        <v>174.23999999999998</v>
      </c>
      <c r="I54" s="71">
        <v>348.47999999999996</v>
      </c>
      <c r="J54" s="79"/>
    </row>
    <row r="55" spans="1:10" ht="15">
      <c r="A55" s="43"/>
      <c r="B55" s="188" t="s">
        <v>13</v>
      </c>
      <c r="C55" s="32">
        <v>4823114073045</v>
      </c>
      <c r="D55" s="32" t="s">
        <v>517</v>
      </c>
      <c r="E55" s="32">
        <v>126267</v>
      </c>
      <c r="F55" s="34" t="s">
        <v>516</v>
      </c>
      <c r="G55" s="35" t="s">
        <v>19</v>
      </c>
      <c r="H55" s="71">
        <v>174.23999999999998</v>
      </c>
      <c r="I55" s="71">
        <v>348.47999999999996</v>
      </c>
      <c r="J55" s="79"/>
    </row>
    <row r="56" spans="1:10" ht="15">
      <c r="A56" s="43"/>
      <c r="B56" s="188" t="s">
        <v>13</v>
      </c>
      <c r="C56" s="32">
        <v>4823114072895</v>
      </c>
      <c r="D56" s="32" t="s">
        <v>518</v>
      </c>
      <c r="E56" s="32">
        <v>126252</v>
      </c>
      <c r="F56" s="34" t="s">
        <v>519</v>
      </c>
      <c r="G56" s="35" t="s">
        <v>16</v>
      </c>
      <c r="H56" s="71">
        <v>130.68</v>
      </c>
      <c r="I56" s="71">
        <v>261.36</v>
      </c>
      <c r="J56" s="79"/>
    </row>
    <row r="57" spans="1:10" ht="15">
      <c r="A57" s="43"/>
      <c r="B57" s="188" t="s">
        <v>13</v>
      </c>
      <c r="C57" s="32">
        <v>4823114072901</v>
      </c>
      <c r="D57" s="32" t="s">
        <v>520</v>
      </c>
      <c r="E57" s="32">
        <v>126253</v>
      </c>
      <c r="F57" s="34" t="s">
        <v>519</v>
      </c>
      <c r="G57" s="35" t="s">
        <v>19</v>
      </c>
      <c r="H57" s="71">
        <v>130.68</v>
      </c>
      <c r="I57" s="71">
        <v>261.36</v>
      </c>
      <c r="J57" s="79"/>
    </row>
    <row r="58" spans="1:10" ht="15">
      <c r="A58" s="43"/>
      <c r="B58" s="188" t="s">
        <v>13</v>
      </c>
      <c r="C58" s="32">
        <v>4823114072918</v>
      </c>
      <c r="D58" s="32" t="s">
        <v>521</v>
      </c>
      <c r="E58" s="32">
        <v>126254</v>
      </c>
      <c r="F58" s="34" t="s">
        <v>522</v>
      </c>
      <c r="G58" s="35" t="s">
        <v>16</v>
      </c>
      <c r="H58" s="71">
        <v>130.68</v>
      </c>
      <c r="I58" s="71">
        <v>261.36</v>
      </c>
      <c r="J58" s="79"/>
    </row>
    <row r="59" spans="1:10" ht="15">
      <c r="A59" s="43"/>
      <c r="B59" s="188" t="s">
        <v>13</v>
      </c>
      <c r="C59" s="32">
        <v>4823114072925</v>
      </c>
      <c r="D59" s="32" t="s">
        <v>523</v>
      </c>
      <c r="E59" s="32">
        <v>126255</v>
      </c>
      <c r="F59" s="34" t="s">
        <v>522</v>
      </c>
      <c r="G59" s="35" t="s">
        <v>19</v>
      </c>
      <c r="H59" s="71">
        <v>130.68</v>
      </c>
      <c r="I59" s="71">
        <v>261.36</v>
      </c>
      <c r="J59" s="79"/>
    </row>
    <row r="60" spans="1:10" ht="15">
      <c r="A60" s="43"/>
      <c r="B60" s="188" t="s">
        <v>13</v>
      </c>
      <c r="C60" s="32">
        <v>4823114072932</v>
      </c>
      <c r="D60" s="32" t="s">
        <v>524</v>
      </c>
      <c r="E60" s="32">
        <v>126256</v>
      </c>
      <c r="F60" s="34" t="s">
        <v>525</v>
      </c>
      <c r="G60" s="35" t="s">
        <v>16</v>
      </c>
      <c r="H60" s="71">
        <v>174.23999999999998</v>
      </c>
      <c r="I60" s="71">
        <v>348.47999999999996</v>
      </c>
      <c r="J60" s="79"/>
    </row>
    <row r="61" spans="1:10" ht="15">
      <c r="A61" s="43"/>
      <c r="B61" s="188" t="s">
        <v>13</v>
      </c>
      <c r="C61" s="32">
        <v>4823114072949</v>
      </c>
      <c r="D61" s="32" t="s">
        <v>526</v>
      </c>
      <c r="E61" s="32">
        <v>126257</v>
      </c>
      <c r="F61" s="34" t="s">
        <v>525</v>
      </c>
      <c r="G61" s="35" t="s">
        <v>19</v>
      </c>
      <c r="H61" s="71">
        <v>174.23999999999998</v>
      </c>
      <c r="I61" s="71">
        <v>348.47999999999996</v>
      </c>
      <c r="J61" s="79"/>
    </row>
    <row r="62" spans="1:10" ht="15">
      <c r="A62" s="43"/>
      <c r="B62" s="188" t="s">
        <v>13</v>
      </c>
      <c r="C62" s="32">
        <v>4823114072956</v>
      </c>
      <c r="D62" s="32" t="s">
        <v>527</v>
      </c>
      <c r="E62" s="32">
        <v>126258</v>
      </c>
      <c r="F62" s="34" t="s">
        <v>528</v>
      </c>
      <c r="G62" s="35" t="s">
        <v>16</v>
      </c>
      <c r="H62" s="71">
        <v>174.23999999999998</v>
      </c>
      <c r="I62" s="71">
        <v>348.47999999999996</v>
      </c>
      <c r="J62" s="79"/>
    </row>
    <row r="63" spans="1:10" ht="15">
      <c r="A63" s="43"/>
      <c r="B63" s="188" t="s">
        <v>13</v>
      </c>
      <c r="C63" s="32">
        <v>4823114072963</v>
      </c>
      <c r="D63" s="32" t="s">
        <v>529</v>
      </c>
      <c r="E63" s="32">
        <v>126259</v>
      </c>
      <c r="F63" s="34" t="s">
        <v>528</v>
      </c>
      <c r="G63" s="35" t="s">
        <v>19</v>
      </c>
      <c r="H63" s="71">
        <v>174.23999999999998</v>
      </c>
      <c r="I63" s="71">
        <v>348.47999999999996</v>
      </c>
      <c r="J63" s="79"/>
    </row>
    <row r="64" spans="1:10" ht="15">
      <c r="A64" s="43"/>
      <c r="B64" s="188" t="s">
        <v>13</v>
      </c>
      <c r="C64" s="32">
        <v>4823114073052</v>
      </c>
      <c r="D64" s="32" t="s">
        <v>530</v>
      </c>
      <c r="E64" s="32">
        <v>126268</v>
      </c>
      <c r="F64" s="34" t="s">
        <v>531</v>
      </c>
      <c r="G64" s="35" t="s">
        <v>16</v>
      </c>
      <c r="H64" s="71">
        <v>130.68</v>
      </c>
      <c r="I64" s="71">
        <v>261.36</v>
      </c>
      <c r="J64" s="79"/>
    </row>
    <row r="65" spans="1:10" ht="15">
      <c r="A65" s="43"/>
      <c r="B65" s="188" t="s">
        <v>13</v>
      </c>
      <c r="C65" s="32">
        <v>4823114073069</v>
      </c>
      <c r="D65" s="32" t="s">
        <v>532</v>
      </c>
      <c r="E65" s="32">
        <v>126269</v>
      </c>
      <c r="F65" s="34" t="s">
        <v>533</v>
      </c>
      <c r="G65" s="35" t="s">
        <v>19</v>
      </c>
      <c r="H65" s="71">
        <v>130.68</v>
      </c>
      <c r="I65" s="71">
        <v>261.36</v>
      </c>
      <c r="J65" s="79"/>
    </row>
    <row r="66" spans="1:10" ht="15">
      <c r="A66" s="43"/>
      <c r="B66" s="188" t="s">
        <v>13</v>
      </c>
      <c r="C66" s="32">
        <v>4823114073076</v>
      </c>
      <c r="D66" s="32" t="s">
        <v>534</v>
      </c>
      <c r="E66" s="32">
        <v>126270</v>
      </c>
      <c r="F66" s="34" t="s">
        <v>535</v>
      </c>
      <c r="G66" s="35" t="s">
        <v>16</v>
      </c>
      <c r="H66" s="71">
        <v>130.68</v>
      </c>
      <c r="I66" s="71">
        <v>261.36</v>
      </c>
      <c r="J66" s="79"/>
    </row>
    <row r="67" spans="1:10" ht="15">
      <c r="A67" s="43"/>
      <c r="B67" s="188" t="s">
        <v>13</v>
      </c>
      <c r="C67" s="32">
        <v>4823114073083</v>
      </c>
      <c r="D67" s="32" t="s">
        <v>536</v>
      </c>
      <c r="E67" s="32">
        <v>126271</v>
      </c>
      <c r="F67" s="34" t="s">
        <v>535</v>
      </c>
      <c r="G67" s="35" t="s">
        <v>19</v>
      </c>
      <c r="H67" s="71">
        <v>130.68</v>
      </c>
      <c r="I67" s="71">
        <v>261.36</v>
      </c>
      <c r="J67" s="79"/>
    </row>
    <row r="68" spans="1:10" ht="15">
      <c r="A68" s="43"/>
      <c r="B68" s="188" t="s">
        <v>13</v>
      </c>
      <c r="C68" s="32">
        <v>4823114073090</v>
      </c>
      <c r="D68" s="32" t="s">
        <v>537</v>
      </c>
      <c r="E68" s="32">
        <v>126272</v>
      </c>
      <c r="F68" s="34" t="s">
        <v>538</v>
      </c>
      <c r="G68" s="35" t="s">
        <v>16</v>
      </c>
      <c r="H68" s="71">
        <v>174.23999999999998</v>
      </c>
      <c r="I68" s="71">
        <v>348.47999999999996</v>
      </c>
      <c r="J68" s="79"/>
    </row>
    <row r="69" spans="1:10" ht="15">
      <c r="A69" s="43"/>
      <c r="B69" s="188" t="s">
        <v>13</v>
      </c>
      <c r="C69" s="32">
        <v>4823114073106</v>
      </c>
      <c r="D69" s="32" t="s">
        <v>539</v>
      </c>
      <c r="E69" s="32">
        <v>126273</v>
      </c>
      <c r="F69" s="34" t="s">
        <v>538</v>
      </c>
      <c r="G69" s="35" t="s">
        <v>19</v>
      </c>
      <c r="H69" s="71">
        <v>174.23999999999998</v>
      </c>
      <c r="I69" s="71">
        <v>348.47999999999996</v>
      </c>
      <c r="J69" s="79"/>
    </row>
    <row r="70" spans="1:10" ht="15">
      <c r="A70" s="43"/>
      <c r="B70" s="188" t="s">
        <v>13</v>
      </c>
      <c r="C70" s="32">
        <v>4823114073113</v>
      </c>
      <c r="D70" s="32" t="s">
        <v>540</v>
      </c>
      <c r="E70" s="32">
        <v>126274</v>
      </c>
      <c r="F70" s="34" t="s">
        <v>541</v>
      </c>
      <c r="G70" s="35" t="s">
        <v>16</v>
      </c>
      <c r="H70" s="71">
        <v>174.23999999999998</v>
      </c>
      <c r="I70" s="71">
        <v>348.47999999999996</v>
      </c>
      <c r="J70" s="79"/>
    </row>
    <row r="71" spans="1:10" ht="15">
      <c r="A71" s="43"/>
      <c r="B71" s="188" t="s">
        <v>13</v>
      </c>
      <c r="C71" s="32">
        <v>4823114073120</v>
      </c>
      <c r="D71" s="32" t="s">
        <v>542</v>
      </c>
      <c r="E71" s="32">
        <v>126275</v>
      </c>
      <c r="F71" s="34" t="s">
        <v>541</v>
      </c>
      <c r="G71" s="35" t="s">
        <v>19</v>
      </c>
      <c r="H71" s="71">
        <v>174.23999999999998</v>
      </c>
      <c r="I71" s="71">
        <v>348.47999999999996</v>
      </c>
      <c r="J71" s="79"/>
    </row>
    <row r="72" spans="1:10" ht="15">
      <c r="A72" s="43"/>
      <c r="B72" s="169"/>
      <c r="C72" s="38">
        <v>4823114073137</v>
      </c>
      <c r="D72" s="38" t="s">
        <v>543</v>
      </c>
      <c r="E72" s="121">
        <f ca="1">IFERROR(__xludf.DUMMYFUNCTION("VLOOKUP(SPLIT(D72,"".""),SPLIT(D72,"".""),1)"),126276)</f>
        <v>126276</v>
      </c>
      <c r="F72" s="39" t="s">
        <v>544</v>
      </c>
      <c r="G72" s="40" t="s">
        <v>16</v>
      </c>
      <c r="H72" s="122">
        <v>211.68350000000001</v>
      </c>
      <c r="I72" s="122">
        <v>423.36700000000002</v>
      </c>
      <c r="J72" s="79"/>
    </row>
    <row r="73" spans="1:10" ht="15">
      <c r="A73" s="43"/>
      <c r="B73" s="169"/>
      <c r="C73" s="38">
        <v>4823114073144</v>
      </c>
      <c r="D73" s="38" t="s">
        <v>545</v>
      </c>
      <c r="E73" s="121">
        <f ca="1">IFERROR(__xludf.DUMMYFUNCTION("VLOOKUP(SPLIT(D73,"".""),SPLIT(D73,"".""),1)"),126277)</f>
        <v>126277</v>
      </c>
      <c r="F73" s="39" t="s">
        <v>544</v>
      </c>
      <c r="G73" s="40" t="s">
        <v>19</v>
      </c>
      <c r="H73" s="122">
        <v>211.68350000000001</v>
      </c>
      <c r="I73" s="122">
        <v>423.36700000000002</v>
      </c>
      <c r="J73" s="79"/>
    </row>
    <row r="74" spans="1:10" ht="15">
      <c r="A74" s="43"/>
      <c r="B74" s="169"/>
      <c r="C74" s="38">
        <v>4823114073151</v>
      </c>
      <c r="D74" s="38" t="s">
        <v>546</v>
      </c>
      <c r="E74" s="121">
        <f ca="1">IFERROR(__xludf.DUMMYFUNCTION("VLOOKUP(SPLIT(D74,"".""),SPLIT(D74,"".""),1)"),126278)</f>
        <v>126278</v>
      </c>
      <c r="F74" s="39" t="s">
        <v>547</v>
      </c>
      <c r="G74" s="40" t="s">
        <v>16</v>
      </c>
      <c r="H74" s="122">
        <v>293.08949999999999</v>
      </c>
      <c r="I74" s="122">
        <v>586.17899999999997</v>
      </c>
      <c r="J74" s="79"/>
    </row>
    <row r="75" spans="1:10" ht="15">
      <c r="A75" s="43"/>
      <c r="B75" s="169"/>
      <c r="C75" s="38">
        <v>4823114073168</v>
      </c>
      <c r="D75" s="38" t="s">
        <v>548</v>
      </c>
      <c r="E75" s="121">
        <f ca="1">IFERROR(__xludf.DUMMYFUNCTION("VLOOKUP(SPLIT(D75,"".""),SPLIT(D75,"".""),1)"),126279)</f>
        <v>126279</v>
      </c>
      <c r="F75" s="39" t="s">
        <v>547</v>
      </c>
      <c r="G75" s="40" t="s">
        <v>19</v>
      </c>
      <c r="H75" s="122">
        <v>293.08949999999999</v>
      </c>
      <c r="I75" s="122">
        <v>586.17899999999997</v>
      </c>
      <c r="J75" s="79"/>
    </row>
    <row r="76" spans="1:10" ht="15">
      <c r="A76" s="43"/>
      <c r="B76" s="169"/>
      <c r="C76" s="38">
        <v>4823114073212</v>
      </c>
      <c r="D76" s="38" t="s">
        <v>549</v>
      </c>
      <c r="E76" s="121">
        <f ca="1">IFERROR(__xludf.DUMMYFUNCTION("VLOOKUP(SPLIT(D76,"".""),SPLIT(D76,"".""),1)"),126284)</f>
        <v>126284</v>
      </c>
      <c r="F76" s="39" t="s">
        <v>550</v>
      </c>
      <c r="G76" s="40" t="s">
        <v>16</v>
      </c>
      <c r="H76" s="122">
        <v>211.68350000000001</v>
      </c>
      <c r="I76" s="122">
        <v>423.36700000000002</v>
      </c>
      <c r="J76" s="79"/>
    </row>
    <row r="77" spans="1:10" ht="15">
      <c r="A77" s="43"/>
      <c r="B77" s="169"/>
      <c r="C77" s="38">
        <v>4823114073229</v>
      </c>
      <c r="D77" s="38" t="s">
        <v>551</v>
      </c>
      <c r="E77" s="121">
        <f ca="1">IFERROR(__xludf.DUMMYFUNCTION("VLOOKUP(SPLIT(D77,"".""),SPLIT(D77,"".""),1)"),126285)</f>
        <v>126285</v>
      </c>
      <c r="F77" s="39" t="s">
        <v>550</v>
      </c>
      <c r="G77" s="40" t="s">
        <v>19</v>
      </c>
      <c r="H77" s="122">
        <v>211.68350000000001</v>
      </c>
      <c r="I77" s="122">
        <v>423.36700000000002</v>
      </c>
      <c r="J77" s="79"/>
    </row>
    <row r="78" spans="1:10" ht="15">
      <c r="A78" s="43"/>
      <c r="B78" s="169"/>
      <c r="C78" s="38">
        <v>4823114073236</v>
      </c>
      <c r="D78" s="38" t="s">
        <v>552</v>
      </c>
      <c r="E78" s="121">
        <f ca="1">IFERROR(__xludf.DUMMYFUNCTION("VLOOKUP(SPLIT(D78,"".""),SPLIT(D78,"".""),1)"),126286)</f>
        <v>126286</v>
      </c>
      <c r="F78" s="39" t="s">
        <v>553</v>
      </c>
      <c r="G78" s="40" t="s">
        <v>16</v>
      </c>
      <c r="H78" s="122">
        <v>293.08949999999999</v>
      </c>
      <c r="I78" s="122">
        <v>586.17899999999997</v>
      </c>
      <c r="J78" s="79"/>
    </row>
    <row r="79" spans="1:10" ht="15">
      <c r="A79" s="43"/>
      <c r="B79" s="169"/>
      <c r="C79" s="38">
        <v>4823114073243</v>
      </c>
      <c r="D79" s="38" t="s">
        <v>554</v>
      </c>
      <c r="E79" s="121">
        <f ca="1">IFERROR(__xludf.DUMMYFUNCTION("VLOOKUP(SPLIT(D79,"".""),SPLIT(D79,"".""),1)"),126287)</f>
        <v>126287</v>
      </c>
      <c r="F79" s="39" t="s">
        <v>553</v>
      </c>
      <c r="G79" s="40" t="s">
        <v>19</v>
      </c>
      <c r="H79" s="122">
        <v>293.08949999999999</v>
      </c>
      <c r="I79" s="122">
        <v>586.17899999999997</v>
      </c>
      <c r="J79" s="79"/>
    </row>
    <row r="80" spans="1:10" ht="15">
      <c r="A80" s="43"/>
      <c r="B80" s="169"/>
      <c r="C80" s="38">
        <v>4823114073175</v>
      </c>
      <c r="D80" s="38" t="s">
        <v>555</v>
      </c>
      <c r="E80" s="121">
        <f ca="1">IFERROR(__xludf.DUMMYFUNCTION("VLOOKUP(SPLIT(D80,"".""),SPLIT(D80,"".""),1)"),126280)</f>
        <v>126280</v>
      </c>
      <c r="F80" s="39" t="s">
        <v>556</v>
      </c>
      <c r="G80" s="40" t="s">
        <v>16</v>
      </c>
      <c r="H80" s="122">
        <v>211.68350000000001</v>
      </c>
      <c r="I80" s="122">
        <v>423.36700000000002</v>
      </c>
      <c r="J80" s="79"/>
    </row>
    <row r="81" spans="1:10" ht="15">
      <c r="A81" s="43"/>
      <c r="B81" s="169"/>
      <c r="C81" s="38">
        <v>4823114073182</v>
      </c>
      <c r="D81" s="38" t="s">
        <v>557</v>
      </c>
      <c r="E81" s="121">
        <f ca="1">IFERROR(__xludf.DUMMYFUNCTION("VLOOKUP(SPLIT(D81,"".""),SPLIT(D81,"".""),1)"),126281)</f>
        <v>126281</v>
      </c>
      <c r="F81" s="39" t="s">
        <v>556</v>
      </c>
      <c r="G81" s="40" t="s">
        <v>19</v>
      </c>
      <c r="H81" s="122">
        <v>211.68350000000001</v>
      </c>
      <c r="I81" s="122">
        <v>423.36700000000002</v>
      </c>
      <c r="J81" s="79"/>
    </row>
    <row r="82" spans="1:10" ht="15">
      <c r="A82" s="43"/>
      <c r="B82" s="169"/>
      <c r="C82" s="38">
        <v>4823114073199</v>
      </c>
      <c r="D82" s="38" t="s">
        <v>558</v>
      </c>
      <c r="E82" s="121">
        <f ca="1">IFERROR(__xludf.DUMMYFUNCTION("VLOOKUP(SPLIT(D82,"".""),SPLIT(D82,"".""),1)"),126282)</f>
        <v>126282</v>
      </c>
      <c r="F82" s="39" t="s">
        <v>559</v>
      </c>
      <c r="G82" s="40" t="s">
        <v>16</v>
      </c>
      <c r="H82" s="122">
        <v>293.08949999999999</v>
      </c>
      <c r="I82" s="122">
        <v>586.17899999999997</v>
      </c>
      <c r="J82" s="79"/>
    </row>
    <row r="83" spans="1:10" ht="15">
      <c r="A83" s="43"/>
      <c r="B83" s="169"/>
      <c r="C83" s="38">
        <v>4823114073205</v>
      </c>
      <c r="D83" s="38" t="s">
        <v>560</v>
      </c>
      <c r="E83" s="121">
        <f ca="1">IFERROR(__xludf.DUMMYFUNCTION("VLOOKUP(SPLIT(D83,"".""),SPLIT(D83,"".""),1)"),126283)</f>
        <v>126283</v>
      </c>
      <c r="F83" s="39" t="s">
        <v>559</v>
      </c>
      <c r="G83" s="40" t="s">
        <v>19</v>
      </c>
      <c r="H83" s="122">
        <v>293.08949999999999</v>
      </c>
      <c r="I83" s="122">
        <v>586.17899999999997</v>
      </c>
      <c r="J83" s="79"/>
    </row>
    <row r="84" spans="1:10" ht="15">
      <c r="A84" s="43"/>
      <c r="B84" s="172"/>
      <c r="C84" s="172"/>
      <c r="D84" s="172"/>
      <c r="E84" s="172"/>
      <c r="F84" s="172"/>
      <c r="G84" s="172"/>
      <c r="H84" s="172"/>
      <c r="I84" s="172"/>
      <c r="J84" s="79"/>
    </row>
    <row r="85" spans="1:10" ht="15">
      <c r="A85" s="1"/>
      <c r="B85" s="51" t="s">
        <v>561</v>
      </c>
      <c r="C85" s="3"/>
      <c r="D85" s="3"/>
      <c r="E85" s="3"/>
      <c r="F85" s="3"/>
      <c r="G85" s="4"/>
      <c r="H85" s="4"/>
      <c r="I85" s="4"/>
      <c r="J85" s="1"/>
    </row>
    <row r="86" spans="1:10" ht="15">
      <c r="A86" s="1"/>
      <c r="B86" s="2"/>
      <c r="C86" s="3"/>
      <c r="D86" s="3"/>
      <c r="E86" s="3"/>
      <c r="F86" s="3"/>
      <c r="G86" s="4"/>
      <c r="H86" s="4"/>
      <c r="I86" s="4"/>
      <c r="J86" s="1"/>
    </row>
    <row r="87" spans="1:10" ht="30">
      <c r="A87" s="1"/>
      <c r="B87" s="16" t="s">
        <v>4</v>
      </c>
      <c r="C87" s="55" t="s">
        <v>5</v>
      </c>
      <c r="D87" s="55" t="s">
        <v>6</v>
      </c>
      <c r="E87" s="56" t="s">
        <v>7</v>
      </c>
      <c r="F87" s="56" t="s">
        <v>8</v>
      </c>
      <c r="G87" s="16" t="s">
        <v>9</v>
      </c>
      <c r="H87" s="58" t="s">
        <v>11</v>
      </c>
      <c r="I87" s="21" t="s">
        <v>12</v>
      </c>
      <c r="J87" s="1"/>
    </row>
    <row r="88" spans="1:10" ht="15">
      <c r="A88" s="1"/>
      <c r="B88" s="184" t="s">
        <v>13</v>
      </c>
      <c r="C88" s="69">
        <v>4823114053474</v>
      </c>
      <c r="D88" s="189" t="s">
        <v>562</v>
      </c>
      <c r="E88" s="69">
        <v>88882</v>
      </c>
      <c r="F88" s="135" t="s">
        <v>563</v>
      </c>
      <c r="G88" s="179" t="s">
        <v>16</v>
      </c>
      <c r="H88" s="191">
        <v>20.07</v>
      </c>
      <c r="I88" s="191">
        <v>40.14</v>
      </c>
      <c r="J88" s="1"/>
    </row>
    <row r="89" spans="1:10" ht="15">
      <c r="A89" s="1"/>
      <c r="B89" s="192" t="s">
        <v>13</v>
      </c>
      <c r="C89" s="87">
        <v>4823114053481</v>
      </c>
      <c r="D89" s="87" t="s">
        <v>564</v>
      </c>
      <c r="E89" s="87">
        <v>88881</v>
      </c>
      <c r="F89" s="34" t="s">
        <v>563</v>
      </c>
      <c r="G89" s="35" t="s">
        <v>19</v>
      </c>
      <c r="H89" s="194">
        <v>20.07</v>
      </c>
      <c r="I89" s="194">
        <v>40.14</v>
      </c>
      <c r="J89" s="1"/>
    </row>
    <row r="90" spans="1:10" ht="15">
      <c r="A90" s="1"/>
      <c r="B90" s="2"/>
      <c r="C90" s="3"/>
      <c r="D90" s="3"/>
      <c r="E90" s="3"/>
      <c r="F90" s="170"/>
      <c r="G90" s="4"/>
      <c r="H90" s="4"/>
      <c r="I90" s="4"/>
      <c r="J90" s="1"/>
    </row>
    <row r="91" spans="1:10" ht="15">
      <c r="A91" s="112"/>
      <c r="B91" s="51" t="s">
        <v>565</v>
      </c>
      <c r="C91" s="3"/>
      <c r="D91" s="3"/>
      <c r="E91" s="3"/>
      <c r="F91" s="3"/>
      <c r="G91" s="4"/>
      <c r="H91" s="4"/>
      <c r="I91" s="4"/>
      <c r="J91" s="78"/>
    </row>
    <row r="92" spans="1:10" ht="15">
      <c r="A92" s="112"/>
      <c r="B92" s="2"/>
      <c r="C92" s="3"/>
      <c r="D92" s="3"/>
      <c r="E92" s="3"/>
      <c r="F92" s="3"/>
      <c r="G92" s="4"/>
      <c r="H92" s="4"/>
      <c r="I92" s="4"/>
      <c r="J92" s="78"/>
    </row>
    <row r="93" spans="1:10" ht="30">
      <c r="A93" s="112"/>
      <c r="B93" s="16" t="s">
        <v>4</v>
      </c>
      <c r="C93" s="55" t="s">
        <v>5</v>
      </c>
      <c r="D93" s="55" t="s">
        <v>6</v>
      </c>
      <c r="E93" s="56" t="s">
        <v>7</v>
      </c>
      <c r="F93" s="56" t="s">
        <v>8</v>
      </c>
      <c r="G93" s="16" t="s">
        <v>9</v>
      </c>
      <c r="H93" s="58" t="s">
        <v>11</v>
      </c>
      <c r="I93" s="21" t="s">
        <v>12</v>
      </c>
      <c r="J93" s="78"/>
    </row>
    <row r="94" spans="1:10" ht="15">
      <c r="A94" s="112"/>
      <c r="B94" s="195"/>
      <c r="C94" s="38">
        <v>4823114080692</v>
      </c>
      <c r="D94" s="38" t="s">
        <v>566</v>
      </c>
      <c r="E94" s="121">
        <f ca="1">IFERROR(__xludf.DUMMYFUNCTION("VLOOKUP(SPLIT(D94,"".""),SPLIT(D94,"".""),1)"),168235)</f>
        <v>168235</v>
      </c>
      <c r="F94" s="173" t="s">
        <v>567</v>
      </c>
      <c r="G94" s="196" t="s">
        <v>16</v>
      </c>
      <c r="H94" s="197">
        <v>31.986999999999998</v>
      </c>
      <c r="I94" s="197">
        <v>63.973999999999997</v>
      </c>
      <c r="J94" s="78"/>
    </row>
    <row r="95" spans="1:10" ht="15">
      <c r="A95" s="112"/>
      <c r="B95" s="169"/>
      <c r="C95" s="38">
        <v>4823114080708</v>
      </c>
      <c r="D95" s="38" t="s">
        <v>568</v>
      </c>
      <c r="E95" s="121">
        <f ca="1">IFERROR(__xludf.DUMMYFUNCTION("VLOOKUP(SPLIT(D95,"".""),SPLIT(D95,"".""),1)"),168234)</f>
        <v>168234</v>
      </c>
      <c r="F95" s="173" t="s">
        <v>567</v>
      </c>
      <c r="G95" s="196" t="s">
        <v>19</v>
      </c>
      <c r="H95" s="197">
        <v>31.986999999999998</v>
      </c>
      <c r="I95" s="197">
        <v>63.973999999999997</v>
      </c>
      <c r="J95" s="78"/>
    </row>
    <row r="96" spans="1:10" ht="15">
      <c r="A96" s="112"/>
      <c r="B96" s="195"/>
      <c r="C96" s="38">
        <v>4823114080715</v>
      </c>
      <c r="D96" s="38" t="s">
        <v>569</v>
      </c>
      <c r="E96" s="121">
        <f ca="1">IFERROR(__xludf.DUMMYFUNCTION("VLOOKUP(SPLIT(D96,"".""),SPLIT(D96,"".""),1)"),168237)</f>
        <v>168237</v>
      </c>
      <c r="F96" s="173" t="s">
        <v>570</v>
      </c>
      <c r="G96" s="196" t="s">
        <v>16</v>
      </c>
      <c r="H96" s="197">
        <v>42.644500000000001</v>
      </c>
      <c r="I96" s="197">
        <v>85.289000000000001</v>
      </c>
      <c r="J96" s="78"/>
    </row>
    <row r="97" spans="1:10" ht="15">
      <c r="A97" s="112"/>
      <c r="B97" s="169"/>
      <c r="C97" s="38">
        <v>4823114080722</v>
      </c>
      <c r="D97" s="38" t="s">
        <v>571</v>
      </c>
      <c r="E97" s="121">
        <f ca="1">IFERROR(__xludf.DUMMYFUNCTION("VLOOKUP(SPLIT(D97,"".""),SPLIT(D97,"".""),1)"),168236)</f>
        <v>168236</v>
      </c>
      <c r="F97" s="173" t="s">
        <v>570</v>
      </c>
      <c r="G97" s="196" t="s">
        <v>19</v>
      </c>
      <c r="H97" s="197">
        <v>42.644500000000001</v>
      </c>
      <c r="I97" s="197">
        <v>85.289000000000001</v>
      </c>
      <c r="J97" s="78"/>
    </row>
    <row r="98" spans="1:10" ht="15">
      <c r="A98" s="112"/>
      <c r="B98" s="195"/>
      <c r="C98" s="38">
        <v>4823114080739</v>
      </c>
      <c r="D98" s="38" t="s">
        <v>572</v>
      </c>
      <c r="E98" s="121">
        <f ca="1">IFERROR(__xludf.DUMMYFUNCTION("VLOOKUP(SPLIT(D98,"".""),SPLIT(D98,"".""),1)"),168239)</f>
        <v>168239</v>
      </c>
      <c r="F98" s="173" t="s">
        <v>573</v>
      </c>
      <c r="G98" s="196" t="s">
        <v>16</v>
      </c>
      <c r="H98" s="197">
        <v>45.704000000000001</v>
      </c>
      <c r="I98" s="197">
        <v>91.408000000000001</v>
      </c>
      <c r="J98" s="78"/>
    </row>
    <row r="99" spans="1:10" ht="15">
      <c r="A99" s="112"/>
      <c r="B99" s="169"/>
      <c r="C99" s="38">
        <v>4823114080746</v>
      </c>
      <c r="D99" s="38" t="s">
        <v>574</v>
      </c>
      <c r="E99" s="121">
        <f ca="1">IFERROR(__xludf.DUMMYFUNCTION("VLOOKUP(SPLIT(D99,"".""),SPLIT(D99,"".""),1)"),168238)</f>
        <v>168238</v>
      </c>
      <c r="F99" s="173" t="s">
        <v>573</v>
      </c>
      <c r="G99" s="196" t="s">
        <v>19</v>
      </c>
      <c r="H99" s="197">
        <v>45.704000000000001</v>
      </c>
      <c r="I99" s="197">
        <v>91.408000000000001</v>
      </c>
      <c r="J99" s="78"/>
    </row>
    <row r="100" spans="1:10" ht="15">
      <c r="A100" s="112"/>
      <c r="B100" s="195"/>
      <c r="C100" s="38">
        <v>4823114080753</v>
      </c>
      <c r="D100" s="38" t="s">
        <v>575</v>
      </c>
      <c r="E100" s="121">
        <f ca="1">IFERROR(__xludf.DUMMYFUNCTION("VLOOKUP(SPLIT(D100,"".""),SPLIT(D100,"".""),1)"),168241)</f>
        <v>168241</v>
      </c>
      <c r="F100" s="173" t="s">
        <v>576</v>
      </c>
      <c r="G100" s="196" t="s">
        <v>16</v>
      </c>
      <c r="H100" s="197">
        <v>56.361499999999992</v>
      </c>
      <c r="I100" s="197">
        <v>112.72299999999998</v>
      </c>
      <c r="J100" s="78"/>
    </row>
    <row r="101" spans="1:10" ht="15">
      <c r="A101" s="112"/>
      <c r="B101" s="169"/>
      <c r="C101" s="38">
        <v>4823114080760</v>
      </c>
      <c r="D101" s="38" t="s">
        <v>577</v>
      </c>
      <c r="E101" s="121">
        <f ca="1">IFERROR(__xludf.DUMMYFUNCTION("VLOOKUP(SPLIT(D101,"".""),SPLIT(D101,"".""),1)"),168240)</f>
        <v>168240</v>
      </c>
      <c r="F101" s="173" t="s">
        <v>576</v>
      </c>
      <c r="G101" s="196" t="s">
        <v>19</v>
      </c>
      <c r="H101" s="197">
        <v>56.361499999999992</v>
      </c>
      <c r="I101" s="197">
        <v>112.72299999999998</v>
      </c>
      <c r="J101" s="78"/>
    </row>
    <row r="102" spans="1:10" ht="15">
      <c r="A102" s="112"/>
      <c r="B102" s="74"/>
      <c r="C102" s="170"/>
      <c r="D102" s="170"/>
      <c r="E102" s="170"/>
      <c r="F102" s="170"/>
      <c r="G102" s="156"/>
      <c r="H102" s="156"/>
      <c r="I102" s="156"/>
      <c r="J102" s="78"/>
    </row>
    <row r="103" spans="1:10" ht="15">
      <c r="A103" s="43"/>
      <c r="B103" s="171" t="s">
        <v>437</v>
      </c>
      <c r="C103" s="172"/>
      <c r="D103" s="172"/>
      <c r="E103" s="172"/>
      <c r="F103" s="172"/>
      <c r="G103" s="172"/>
      <c r="H103" s="172"/>
      <c r="I103" s="172"/>
      <c r="J103" s="79"/>
    </row>
    <row r="104" spans="1:10" ht="15">
      <c r="A104" s="43"/>
      <c r="B104" s="172"/>
      <c r="C104" s="172"/>
      <c r="D104" s="172"/>
      <c r="E104" s="172"/>
      <c r="F104" s="172"/>
      <c r="G104" s="172"/>
      <c r="H104" s="172"/>
      <c r="I104" s="172"/>
      <c r="J104" s="79"/>
    </row>
    <row r="105" spans="1:10" ht="30">
      <c r="A105" s="43"/>
      <c r="B105" s="16" t="s">
        <v>4</v>
      </c>
      <c r="C105" s="55" t="s">
        <v>5</v>
      </c>
      <c r="D105" s="55" t="s">
        <v>6</v>
      </c>
      <c r="E105" s="56" t="s">
        <v>7</v>
      </c>
      <c r="F105" s="56" t="s">
        <v>8</v>
      </c>
      <c r="G105" s="16" t="s">
        <v>9</v>
      </c>
      <c r="H105" s="58" t="s">
        <v>11</v>
      </c>
      <c r="I105" s="21" t="s">
        <v>12</v>
      </c>
      <c r="J105" s="2"/>
    </row>
    <row r="106" spans="1:10" ht="15">
      <c r="A106" s="43"/>
      <c r="B106" s="182" t="s">
        <v>13</v>
      </c>
      <c r="C106" s="183">
        <v>4823114044168</v>
      </c>
      <c r="D106" s="183" t="s">
        <v>578</v>
      </c>
      <c r="E106" s="183">
        <v>70938</v>
      </c>
      <c r="F106" s="25" t="s">
        <v>579</v>
      </c>
      <c r="G106" s="175" t="s">
        <v>16</v>
      </c>
      <c r="H106" s="35">
        <v>155.21</v>
      </c>
      <c r="I106" s="35">
        <v>310.42</v>
      </c>
      <c r="J106" s="2"/>
    </row>
    <row r="107" spans="1:10" ht="15">
      <c r="A107" s="43"/>
      <c r="B107" s="182" t="s">
        <v>13</v>
      </c>
      <c r="C107" s="183">
        <v>4823114044151</v>
      </c>
      <c r="D107" s="183" t="s">
        <v>580</v>
      </c>
      <c r="E107" s="183">
        <v>70936</v>
      </c>
      <c r="F107" s="177" t="s">
        <v>579</v>
      </c>
      <c r="G107" s="178" t="s">
        <v>19</v>
      </c>
      <c r="H107" s="35">
        <v>155.21</v>
      </c>
      <c r="I107" s="35">
        <v>310.42</v>
      </c>
      <c r="J107" s="2"/>
    </row>
    <row r="108" spans="1:10" ht="15">
      <c r="A108" s="43"/>
      <c r="B108" s="182" t="s">
        <v>13</v>
      </c>
      <c r="C108" s="183">
        <v>4823114044120</v>
      </c>
      <c r="D108" s="183" t="s">
        <v>581</v>
      </c>
      <c r="E108" s="183">
        <v>70935</v>
      </c>
      <c r="F108" s="177" t="s">
        <v>582</v>
      </c>
      <c r="G108" s="178" t="s">
        <v>16</v>
      </c>
      <c r="H108" s="35">
        <v>238.89</v>
      </c>
      <c r="I108" s="35">
        <v>477.78</v>
      </c>
      <c r="J108" s="2"/>
    </row>
    <row r="109" spans="1:10" ht="15">
      <c r="A109" s="43"/>
      <c r="B109" s="182" t="s">
        <v>13</v>
      </c>
      <c r="C109" s="183">
        <v>4823114044113</v>
      </c>
      <c r="D109" s="183" t="s">
        <v>583</v>
      </c>
      <c r="E109" s="183">
        <v>70934</v>
      </c>
      <c r="F109" s="177" t="s">
        <v>582</v>
      </c>
      <c r="G109" s="178" t="s">
        <v>19</v>
      </c>
      <c r="H109" s="35">
        <v>238.89</v>
      </c>
      <c r="I109" s="35">
        <v>477.78</v>
      </c>
      <c r="J109" s="2"/>
    </row>
    <row r="110" spans="1:10" ht="15">
      <c r="A110" s="1"/>
      <c r="B110" s="154" t="s">
        <v>13</v>
      </c>
      <c r="C110" s="198">
        <v>4823114071171</v>
      </c>
      <c r="D110" s="198" t="s">
        <v>584</v>
      </c>
      <c r="E110" s="198">
        <v>127051</v>
      </c>
      <c r="F110" s="25" t="s">
        <v>585</v>
      </c>
      <c r="G110" s="175" t="s">
        <v>16</v>
      </c>
      <c r="H110" s="35">
        <v>155.21</v>
      </c>
      <c r="I110" s="35">
        <v>310.42</v>
      </c>
      <c r="J110" s="1"/>
    </row>
    <row r="111" spans="1:10" ht="15">
      <c r="A111" s="1"/>
      <c r="B111" s="154" t="s">
        <v>13</v>
      </c>
      <c r="C111" s="198">
        <v>4823114071188</v>
      </c>
      <c r="D111" s="198" t="s">
        <v>586</v>
      </c>
      <c r="E111" s="198">
        <v>127052</v>
      </c>
      <c r="F111" s="177" t="s">
        <v>585</v>
      </c>
      <c r="G111" s="178" t="s">
        <v>19</v>
      </c>
      <c r="H111" s="35">
        <v>155.21</v>
      </c>
      <c r="I111" s="35">
        <v>310.42</v>
      </c>
      <c r="J111" s="1"/>
    </row>
    <row r="112" spans="1:10" ht="15">
      <c r="A112" s="1"/>
      <c r="B112" s="154" t="s">
        <v>13</v>
      </c>
      <c r="C112" s="198">
        <v>4823114071232</v>
      </c>
      <c r="D112" s="198" t="s">
        <v>587</v>
      </c>
      <c r="E112" s="198">
        <v>127057</v>
      </c>
      <c r="F112" s="177" t="s">
        <v>588</v>
      </c>
      <c r="G112" s="178" t="s">
        <v>16</v>
      </c>
      <c r="H112" s="35">
        <v>238.89</v>
      </c>
      <c r="I112" s="35">
        <v>477.78</v>
      </c>
      <c r="J112" s="1"/>
    </row>
    <row r="113" spans="1:10" ht="15">
      <c r="A113" s="1"/>
      <c r="B113" s="199" t="s">
        <v>13</v>
      </c>
      <c r="C113" s="200">
        <v>4823114071249</v>
      </c>
      <c r="D113" s="200" t="s">
        <v>589</v>
      </c>
      <c r="E113" s="200">
        <v>127058</v>
      </c>
      <c r="F113" s="186" t="s">
        <v>588</v>
      </c>
      <c r="G113" s="187" t="s">
        <v>19</v>
      </c>
      <c r="H113" s="35">
        <v>238.89</v>
      </c>
      <c r="I113" s="35">
        <v>477.78</v>
      </c>
      <c r="J113" s="1"/>
    </row>
    <row r="114" spans="1:10" ht="15">
      <c r="A114" s="112"/>
      <c r="B114" s="188" t="s">
        <v>13</v>
      </c>
      <c r="C114" s="83">
        <v>4823114076558</v>
      </c>
      <c r="D114" s="83" t="s">
        <v>590</v>
      </c>
      <c r="E114" s="83">
        <v>134499</v>
      </c>
      <c r="F114" s="34" t="s">
        <v>591</v>
      </c>
      <c r="G114" s="175" t="s">
        <v>16</v>
      </c>
      <c r="H114" s="36">
        <v>178.5</v>
      </c>
      <c r="I114" s="36">
        <v>357</v>
      </c>
      <c r="J114" s="78"/>
    </row>
    <row r="115" spans="1:10" ht="15">
      <c r="A115" s="112"/>
      <c r="B115" s="188" t="s">
        <v>13</v>
      </c>
      <c r="C115" s="83">
        <v>4823114076565</v>
      </c>
      <c r="D115" s="83" t="s">
        <v>592</v>
      </c>
      <c r="E115" s="83">
        <v>134500</v>
      </c>
      <c r="F115" s="34" t="s">
        <v>591</v>
      </c>
      <c r="G115" s="178" t="s">
        <v>19</v>
      </c>
      <c r="H115" s="36">
        <v>178.5</v>
      </c>
      <c r="I115" s="36">
        <v>357</v>
      </c>
      <c r="J115" s="78"/>
    </row>
    <row r="116" spans="1:10" ht="15">
      <c r="A116" s="112"/>
      <c r="B116" s="188" t="s">
        <v>13</v>
      </c>
      <c r="C116" s="83">
        <v>4823114076619</v>
      </c>
      <c r="D116" s="83" t="s">
        <v>593</v>
      </c>
      <c r="E116" s="83">
        <v>134505</v>
      </c>
      <c r="F116" s="34" t="s">
        <v>594</v>
      </c>
      <c r="G116" s="187" t="s">
        <v>16</v>
      </c>
      <c r="H116" s="36">
        <v>274.72000000000003</v>
      </c>
      <c r="I116" s="36">
        <v>549.44000000000005</v>
      </c>
      <c r="J116" s="78"/>
    </row>
    <row r="117" spans="1:10" ht="15">
      <c r="A117" s="112"/>
      <c r="B117" s="188" t="s">
        <v>13</v>
      </c>
      <c r="C117" s="83">
        <v>4823114076626</v>
      </c>
      <c r="D117" s="83" t="s">
        <v>595</v>
      </c>
      <c r="E117" s="83">
        <v>134506</v>
      </c>
      <c r="F117" s="34" t="s">
        <v>594</v>
      </c>
      <c r="G117" s="35" t="s">
        <v>19</v>
      </c>
      <c r="H117" s="36">
        <v>274.72000000000003</v>
      </c>
      <c r="I117" s="36">
        <v>549.44000000000005</v>
      </c>
      <c r="J117" s="78"/>
    </row>
    <row r="118" spans="1:10" ht="15">
      <c r="A118" s="112"/>
      <c r="B118" s="188" t="s">
        <v>13</v>
      </c>
      <c r="C118" s="83">
        <v>4823114083846</v>
      </c>
      <c r="D118" s="83" t="s">
        <v>596</v>
      </c>
      <c r="E118" s="83">
        <v>140349</v>
      </c>
      <c r="F118" s="34" t="s">
        <v>597</v>
      </c>
      <c r="G118" s="175" t="s">
        <v>16</v>
      </c>
      <c r="H118" s="36">
        <v>178.5</v>
      </c>
      <c r="I118" s="36">
        <v>357</v>
      </c>
      <c r="J118" s="78"/>
    </row>
    <row r="119" spans="1:10" ht="15">
      <c r="A119" s="112"/>
      <c r="B119" s="188" t="s">
        <v>13</v>
      </c>
      <c r="C119" s="83">
        <v>4823114083853</v>
      </c>
      <c r="D119" s="83" t="s">
        <v>598</v>
      </c>
      <c r="E119" s="83">
        <v>140350</v>
      </c>
      <c r="F119" s="34" t="s">
        <v>597</v>
      </c>
      <c r="G119" s="178" t="s">
        <v>19</v>
      </c>
      <c r="H119" s="36">
        <v>178.5</v>
      </c>
      <c r="I119" s="36">
        <v>357</v>
      </c>
      <c r="J119" s="78"/>
    </row>
    <row r="120" spans="1:10" ht="15">
      <c r="A120" s="112"/>
      <c r="B120" s="188" t="s">
        <v>13</v>
      </c>
      <c r="C120" s="83">
        <v>4823114083860</v>
      </c>
      <c r="D120" s="83" t="s">
        <v>599</v>
      </c>
      <c r="E120" s="83">
        <v>140351</v>
      </c>
      <c r="F120" s="34" t="s">
        <v>600</v>
      </c>
      <c r="G120" s="187" t="s">
        <v>16</v>
      </c>
      <c r="H120" s="36">
        <v>274.72000000000003</v>
      </c>
      <c r="I120" s="36">
        <v>549.44000000000005</v>
      </c>
      <c r="J120" s="78"/>
    </row>
    <row r="121" spans="1:10" ht="15">
      <c r="A121" s="112"/>
      <c r="B121" s="188" t="s">
        <v>13</v>
      </c>
      <c r="C121" s="83">
        <v>4823114083877</v>
      </c>
      <c r="D121" s="83" t="s">
        <v>601</v>
      </c>
      <c r="E121" s="83">
        <v>140352</v>
      </c>
      <c r="F121" s="34" t="s">
        <v>600</v>
      </c>
      <c r="G121" s="35" t="s">
        <v>19</v>
      </c>
      <c r="H121" s="36">
        <v>274.72000000000003</v>
      </c>
      <c r="I121" s="36">
        <v>549.44000000000005</v>
      </c>
      <c r="J121" s="78"/>
    </row>
    <row r="122" spans="1:10" ht="15">
      <c r="A122" s="112"/>
      <c r="B122" s="169"/>
      <c r="C122" s="38"/>
      <c r="D122" s="38" t="s">
        <v>602</v>
      </c>
      <c r="E122" s="121">
        <f ca="1">IFERROR(__xludf.DUMMYFUNCTION("VLOOKUP(SPLIT(D122,"".""),SPLIT(D122,"".""),1)"),140908)</f>
        <v>140908</v>
      </c>
      <c r="F122" s="39" t="s">
        <v>603</v>
      </c>
      <c r="G122" s="40" t="s">
        <v>16</v>
      </c>
      <c r="H122" s="122">
        <v>205.262</v>
      </c>
      <c r="I122" s="122">
        <v>410.524</v>
      </c>
      <c r="J122" s="78"/>
    </row>
    <row r="123" spans="1:10" ht="15">
      <c r="A123" s="112"/>
      <c r="B123" s="169"/>
      <c r="C123" s="38"/>
      <c r="D123" s="38" t="s">
        <v>604</v>
      </c>
      <c r="E123" s="121">
        <f ca="1">IFERROR(__xludf.DUMMYFUNCTION("VLOOKUP(SPLIT(D123,"".""),SPLIT(D123,"".""),1)"),140909)</f>
        <v>140909</v>
      </c>
      <c r="F123" s="39" t="s">
        <v>603</v>
      </c>
      <c r="G123" s="40" t="s">
        <v>19</v>
      </c>
      <c r="H123" s="122">
        <v>205.262</v>
      </c>
      <c r="I123" s="122">
        <v>410.524</v>
      </c>
      <c r="J123" s="78"/>
    </row>
    <row r="124" spans="1:10" ht="15">
      <c r="A124" s="112"/>
      <c r="B124" s="169"/>
      <c r="C124" s="38"/>
      <c r="D124" s="38" t="s">
        <v>605</v>
      </c>
      <c r="E124" s="121">
        <f ca="1">IFERROR(__xludf.DUMMYFUNCTION("VLOOKUP(SPLIT(D124,"".""),SPLIT(D124,"".""),1)"),140910)</f>
        <v>140910</v>
      </c>
      <c r="F124" s="39" t="s">
        <v>606</v>
      </c>
      <c r="G124" s="40" t="s">
        <v>16</v>
      </c>
      <c r="H124" s="122">
        <v>315.92599999999999</v>
      </c>
      <c r="I124" s="122">
        <v>631.85199999999998</v>
      </c>
      <c r="J124" s="78"/>
    </row>
    <row r="125" spans="1:10" ht="15">
      <c r="A125" s="112"/>
      <c r="B125" s="169"/>
      <c r="C125" s="38"/>
      <c r="D125" s="38" t="s">
        <v>607</v>
      </c>
      <c r="E125" s="121">
        <f ca="1">IFERROR(__xludf.DUMMYFUNCTION("VLOOKUP(SPLIT(D125,"".""),SPLIT(D125,"".""),1)"),140911)</f>
        <v>140911</v>
      </c>
      <c r="F125" s="39" t="s">
        <v>606</v>
      </c>
      <c r="G125" s="40" t="s">
        <v>19</v>
      </c>
      <c r="H125" s="122">
        <v>315.92599999999999</v>
      </c>
      <c r="I125" s="122">
        <v>631.85199999999998</v>
      </c>
      <c r="J125" s="78"/>
    </row>
    <row r="126" spans="1:10" ht="15">
      <c r="A126" s="112"/>
      <c r="B126" s="169"/>
      <c r="C126" s="38"/>
      <c r="D126" s="38" t="s">
        <v>608</v>
      </c>
      <c r="E126" s="121">
        <f ca="1">IFERROR(__xludf.DUMMYFUNCTION("VLOOKUP(SPLIT(D126,"".""),SPLIT(D126,"".""),1)"),140912)</f>
        <v>140912</v>
      </c>
      <c r="F126" s="39" t="s">
        <v>609</v>
      </c>
      <c r="G126" s="40" t="s">
        <v>16</v>
      </c>
      <c r="H126" s="122">
        <v>269.06200000000001</v>
      </c>
      <c r="I126" s="122">
        <v>538.12400000000002</v>
      </c>
      <c r="J126" s="78"/>
    </row>
    <row r="127" spans="1:10" ht="15">
      <c r="A127" s="112"/>
      <c r="B127" s="169"/>
      <c r="C127" s="38"/>
      <c r="D127" s="38" t="s">
        <v>610</v>
      </c>
      <c r="E127" s="121">
        <f ca="1">IFERROR(__xludf.DUMMYFUNCTION("VLOOKUP(SPLIT(D127,"".""),SPLIT(D127,"".""),1)"),140913)</f>
        <v>140913</v>
      </c>
      <c r="F127" s="39" t="s">
        <v>609</v>
      </c>
      <c r="G127" s="40" t="s">
        <v>19</v>
      </c>
      <c r="H127" s="122">
        <v>269.06200000000001</v>
      </c>
      <c r="I127" s="122">
        <v>538.12400000000002</v>
      </c>
      <c r="J127" s="78"/>
    </row>
    <row r="128" spans="1:10" ht="15">
      <c r="A128" s="112"/>
      <c r="B128" s="169"/>
      <c r="C128" s="38"/>
      <c r="D128" s="38" t="s">
        <v>611</v>
      </c>
      <c r="E128" s="121">
        <f ca="1">IFERROR(__xludf.DUMMYFUNCTION("VLOOKUP(SPLIT(D128,"".""),SPLIT(D128,"".""),1)"),140914)</f>
        <v>140914</v>
      </c>
      <c r="F128" s="39" t="s">
        <v>612</v>
      </c>
      <c r="G128" s="40" t="s">
        <v>16</v>
      </c>
      <c r="H128" s="122">
        <v>379.726</v>
      </c>
      <c r="I128" s="122">
        <v>759.452</v>
      </c>
      <c r="J128" s="78"/>
    </row>
    <row r="129" spans="1:10" ht="15">
      <c r="A129" s="112"/>
      <c r="B129" s="169"/>
      <c r="C129" s="38"/>
      <c r="D129" s="38" t="s">
        <v>613</v>
      </c>
      <c r="E129" s="121">
        <f ca="1">IFERROR(__xludf.DUMMYFUNCTION("VLOOKUP(SPLIT(D129,"".""),SPLIT(D129,"".""),1)"),140915)</f>
        <v>140915</v>
      </c>
      <c r="F129" s="39" t="s">
        <v>612</v>
      </c>
      <c r="G129" s="40" t="s">
        <v>19</v>
      </c>
      <c r="H129" s="122">
        <v>379.726</v>
      </c>
      <c r="I129" s="122">
        <v>759.452</v>
      </c>
      <c r="J129" s="78"/>
    </row>
    <row r="130" spans="1:10" ht="15">
      <c r="A130" s="112"/>
      <c r="B130" s="169"/>
      <c r="C130" s="38"/>
      <c r="D130" s="38" t="s">
        <v>614</v>
      </c>
      <c r="E130" s="121">
        <f ca="1">IFERROR(__xludf.DUMMYFUNCTION("VLOOKUP(SPLIT(D130,"".""),SPLIT(D130,"".""),1)"),140916)</f>
        <v>140916</v>
      </c>
      <c r="F130" s="39" t="s">
        <v>615</v>
      </c>
      <c r="G130" s="40" t="s">
        <v>16</v>
      </c>
      <c r="H130" s="122">
        <v>443.52599999999995</v>
      </c>
      <c r="I130" s="122">
        <v>887.05199999999991</v>
      </c>
      <c r="J130" s="78"/>
    </row>
    <row r="131" spans="1:10" ht="15">
      <c r="A131" s="112"/>
      <c r="B131" s="169"/>
      <c r="C131" s="38"/>
      <c r="D131" s="38" t="s">
        <v>616</v>
      </c>
      <c r="E131" s="121">
        <f ca="1">IFERROR(__xludf.DUMMYFUNCTION("VLOOKUP(SPLIT(D131,"".""),SPLIT(D131,"".""),1)"),140917)</f>
        <v>140917</v>
      </c>
      <c r="F131" s="39" t="s">
        <v>615</v>
      </c>
      <c r="G131" s="40" t="s">
        <v>19</v>
      </c>
      <c r="H131" s="122">
        <v>443.52599999999995</v>
      </c>
      <c r="I131" s="122">
        <v>887.05199999999991</v>
      </c>
      <c r="J131" s="78"/>
    </row>
    <row r="132" spans="1:10" ht="15">
      <c r="A132" s="1"/>
      <c r="B132" s="74"/>
      <c r="C132" s="170"/>
      <c r="D132" s="170"/>
      <c r="E132" s="170"/>
      <c r="F132" s="170"/>
      <c r="G132" s="156"/>
      <c r="H132" s="156"/>
      <c r="I132" s="156"/>
      <c r="J132" s="1"/>
    </row>
    <row r="133" spans="1:10" ht="15">
      <c r="A133" s="1"/>
      <c r="B133" s="171" t="s">
        <v>617</v>
      </c>
      <c r="C133" s="172"/>
      <c r="D133" s="172"/>
      <c r="E133" s="172"/>
      <c r="F133" s="172"/>
      <c r="G133" s="172"/>
      <c r="H133" s="172"/>
      <c r="I133" s="172"/>
      <c r="J133" s="1"/>
    </row>
    <row r="134" spans="1:10" ht="15">
      <c r="A134" s="1"/>
      <c r="B134" s="172"/>
      <c r="C134" s="172"/>
      <c r="D134" s="172"/>
      <c r="E134" s="172"/>
      <c r="F134" s="172"/>
      <c r="G134" s="172"/>
      <c r="H134" s="172"/>
      <c r="I134" s="172"/>
      <c r="J134" s="1"/>
    </row>
    <row r="135" spans="1:10" ht="30">
      <c r="A135" s="1"/>
      <c r="B135" s="16" t="s">
        <v>4</v>
      </c>
      <c r="C135" s="55" t="s">
        <v>5</v>
      </c>
      <c r="D135" s="55" t="s">
        <v>6</v>
      </c>
      <c r="E135" s="56" t="s">
        <v>7</v>
      </c>
      <c r="F135" s="56" t="s">
        <v>8</v>
      </c>
      <c r="G135" s="16" t="s">
        <v>9</v>
      </c>
      <c r="H135" s="58" t="s">
        <v>11</v>
      </c>
      <c r="I135" s="21" t="s">
        <v>12</v>
      </c>
      <c r="J135" s="1"/>
    </row>
    <row r="136" spans="1:10" ht="15">
      <c r="A136" s="1"/>
      <c r="B136" s="154" t="s">
        <v>13</v>
      </c>
      <c r="C136" s="61">
        <v>4823114066863</v>
      </c>
      <c r="D136" s="61" t="s">
        <v>618</v>
      </c>
      <c r="E136" s="61">
        <v>112255</v>
      </c>
      <c r="F136" s="25" t="s">
        <v>619</v>
      </c>
      <c r="G136" s="175" t="s">
        <v>25</v>
      </c>
      <c r="H136" s="26">
        <v>18.440000000000001</v>
      </c>
      <c r="I136" s="26">
        <v>36.880000000000003</v>
      </c>
      <c r="J136" s="1"/>
    </row>
    <row r="137" spans="1:10" ht="15">
      <c r="A137" s="1"/>
      <c r="B137" s="2"/>
      <c r="C137" s="3"/>
      <c r="D137" s="3"/>
      <c r="E137" s="3"/>
      <c r="F137" s="3"/>
      <c r="G137" s="4"/>
      <c r="H137" s="4"/>
      <c r="I137" s="4"/>
      <c r="J137" s="1"/>
    </row>
    <row r="138" spans="1:10" ht="15">
      <c r="A138" s="1"/>
      <c r="B138" s="2"/>
      <c r="C138" s="3"/>
      <c r="D138" s="3"/>
      <c r="E138" s="3"/>
      <c r="F138" s="3"/>
      <c r="G138" s="4"/>
      <c r="H138" s="4"/>
      <c r="I138" s="4"/>
      <c r="J138" s="1"/>
    </row>
    <row r="139" spans="1:10" ht="15">
      <c r="A139" s="1"/>
      <c r="B139" s="2"/>
      <c r="C139" s="3"/>
      <c r="D139" s="3"/>
      <c r="E139" s="3"/>
      <c r="F139" s="3"/>
      <c r="G139" s="4"/>
      <c r="H139" s="4"/>
      <c r="I139" s="4"/>
      <c r="J139" s="1"/>
    </row>
    <row r="140" spans="1:10" ht="15">
      <c r="A140" s="1"/>
      <c r="B140" s="2"/>
      <c r="C140" s="3"/>
      <c r="D140" s="3"/>
      <c r="E140" s="3"/>
      <c r="F140" s="3"/>
      <c r="G140" s="4"/>
      <c r="H140" s="4"/>
      <c r="I140" s="4"/>
      <c r="J140" s="1"/>
    </row>
    <row r="141" spans="1:10" ht="15">
      <c r="A141" s="1"/>
      <c r="B141" s="2"/>
      <c r="C141" s="3"/>
      <c r="D141" s="3"/>
      <c r="E141" s="3"/>
      <c r="F141" s="3"/>
      <c r="G141" s="4"/>
      <c r="H141" s="4"/>
      <c r="I141" s="4"/>
      <c r="J141" s="1"/>
    </row>
    <row r="142" spans="1:10" ht="15">
      <c r="A142" s="1"/>
      <c r="B142" s="2"/>
      <c r="C142" s="3"/>
      <c r="D142" s="3"/>
      <c r="E142" s="3"/>
      <c r="F142" s="3"/>
      <c r="G142" s="4"/>
      <c r="H142" s="4"/>
      <c r="I142" s="4"/>
      <c r="J142" s="1"/>
    </row>
    <row r="143" spans="1:10" ht="15">
      <c r="A143" s="1"/>
      <c r="B143" s="2"/>
      <c r="C143" s="3"/>
      <c r="D143" s="3"/>
      <c r="E143" s="3"/>
      <c r="F143" s="3"/>
      <c r="G143" s="4"/>
      <c r="H143" s="4"/>
      <c r="I143" s="4"/>
      <c r="J143" s="1"/>
    </row>
    <row r="144" spans="1:10" ht="15">
      <c r="A144" s="1"/>
      <c r="B144" s="2"/>
      <c r="C144" s="3"/>
      <c r="D144" s="3"/>
      <c r="E144" s="3"/>
      <c r="F144" s="3"/>
      <c r="G144" s="4"/>
      <c r="H144" s="4"/>
      <c r="I144" s="4"/>
      <c r="J144" s="1"/>
    </row>
    <row r="145" spans="1:10" ht="15">
      <c r="A145" s="1"/>
      <c r="B145" s="2"/>
      <c r="C145" s="3"/>
      <c r="D145" s="3"/>
      <c r="E145" s="3"/>
      <c r="F145" s="3"/>
      <c r="G145" s="4"/>
      <c r="H145" s="4"/>
      <c r="I145" s="4"/>
      <c r="J145" s="1"/>
    </row>
    <row r="146" spans="1:10" ht="15">
      <c r="A146" s="1"/>
      <c r="B146" s="2"/>
      <c r="C146" s="3"/>
      <c r="D146" s="3"/>
      <c r="E146" s="3"/>
      <c r="F146" s="3"/>
      <c r="G146" s="4"/>
      <c r="H146" s="4"/>
      <c r="I146" s="4"/>
      <c r="J146" s="1"/>
    </row>
    <row r="147" spans="1:10" ht="15">
      <c r="A147" s="1"/>
      <c r="B147" s="2"/>
      <c r="C147" s="3"/>
      <c r="D147" s="3"/>
      <c r="E147" s="3"/>
      <c r="F147" s="3"/>
      <c r="G147" s="4"/>
      <c r="H147" s="4"/>
      <c r="I147" s="4"/>
      <c r="J147" s="1"/>
    </row>
    <row r="148" spans="1:10" ht="15">
      <c r="A148" s="1"/>
      <c r="B148" s="2"/>
      <c r="C148" s="3"/>
      <c r="D148" s="3"/>
      <c r="E148" s="3"/>
      <c r="F148" s="3"/>
      <c r="G148" s="4"/>
      <c r="H148" s="4"/>
      <c r="I148" s="4"/>
      <c r="J148" s="1"/>
    </row>
    <row r="149" spans="1:10" ht="15">
      <c r="A149" s="1"/>
      <c r="B149" s="2"/>
      <c r="C149" s="3"/>
      <c r="D149" s="3"/>
      <c r="E149" s="3"/>
      <c r="F149" s="3"/>
      <c r="G149" s="4"/>
      <c r="H149" s="4"/>
      <c r="I149" s="4"/>
      <c r="J149" s="1"/>
    </row>
    <row r="150" spans="1:10" ht="15">
      <c r="A150" s="1"/>
      <c r="B150" s="2"/>
      <c r="C150" s="3"/>
      <c r="D150" s="3"/>
      <c r="E150" s="3"/>
      <c r="F150" s="3"/>
      <c r="G150" s="4"/>
      <c r="H150" s="4"/>
      <c r="I150" s="4"/>
      <c r="J150" s="1"/>
    </row>
    <row r="151" spans="1:10" ht="15">
      <c r="A151" s="1"/>
      <c r="B151" s="2"/>
      <c r="C151" s="3"/>
      <c r="D151" s="3"/>
      <c r="E151" s="3"/>
      <c r="F151" s="3"/>
      <c r="G151" s="4"/>
      <c r="H151" s="4"/>
      <c r="I151" s="4"/>
      <c r="J151" s="1"/>
    </row>
    <row r="152" spans="1:10" ht="15">
      <c r="A152" s="1"/>
      <c r="B152" s="2"/>
      <c r="C152" s="3"/>
      <c r="D152" s="3"/>
      <c r="E152" s="3"/>
      <c r="F152" s="3"/>
      <c r="G152" s="4"/>
      <c r="H152" s="4"/>
      <c r="I152" s="4"/>
      <c r="J152" s="1"/>
    </row>
    <row r="153" spans="1:10" ht="15">
      <c r="A153" s="1"/>
      <c r="B153" s="2"/>
      <c r="C153" s="3"/>
      <c r="D153" s="3"/>
      <c r="E153" s="3"/>
      <c r="F153" s="3"/>
      <c r="G153" s="4"/>
      <c r="H153" s="4"/>
      <c r="I153" s="4"/>
      <c r="J153" s="1"/>
    </row>
    <row r="154" spans="1:10" ht="15">
      <c r="A154" s="1"/>
      <c r="B154" s="2"/>
      <c r="C154" s="3"/>
      <c r="D154" s="3"/>
      <c r="E154" s="3"/>
      <c r="F154" s="3"/>
      <c r="G154" s="4"/>
      <c r="H154" s="4"/>
      <c r="I154" s="4"/>
      <c r="J154" s="1"/>
    </row>
    <row r="155" spans="1:10" ht="15">
      <c r="A155" s="1"/>
      <c r="B155" s="2"/>
      <c r="C155" s="3"/>
      <c r="D155" s="3"/>
      <c r="E155" s="3"/>
      <c r="F155" s="3"/>
      <c r="G155" s="4"/>
      <c r="H155" s="4"/>
      <c r="I155" s="4"/>
      <c r="J155" s="1"/>
    </row>
    <row r="156" spans="1:10" ht="15">
      <c r="A156" s="1"/>
      <c r="B156" s="2"/>
      <c r="C156" s="3"/>
      <c r="D156" s="3"/>
      <c r="E156" s="3"/>
      <c r="F156" s="3"/>
      <c r="G156" s="4"/>
      <c r="H156" s="4"/>
      <c r="I156" s="4"/>
      <c r="J156" s="1"/>
    </row>
    <row r="157" spans="1:10" ht="15">
      <c r="A157" s="1"/>
      <c r="B157" s="2"/>
      <c r="C157" s="3"/>
      <c r="D157" s="3"/>
      <c r="E157" s="3"/>
      <c r="F157" s="3"/>
      <c r="G157" s="4"/>
      <c r="H157" s="4"/>
      <c r="I157" s="4"/>
      <c r="J157" s="1"/>
    </row>
    <row r="158" spans="1:10" ht="15">
      <c r="A158" s="1"/>
      <c r="B158" s="2"/>
      <c r="C158" s="3"/>
      <c r="D158" s="3"/>
      <c r="E158" s="3"/>
      <c r="F158" s="3"/>
      <c r="G158" s="4"/>
      <c r="H158" s="4"/>
      <c r="I158" s="4"/>
      <c r="J158" s="1"/>
    </row>
    <row r="159" spans="1:10" ht="15">
      <c r="A159" s="1"/>
      <c r="B159" s="2"/>
      <c r="C159" s="3"/>
      <c r="D159" s="3"/>
      <c r="E159" s="3"/>
      <c r="F159" s="3"/>
      <c r="G159" s="4"/>
      <c r="H159" s="4"/>
      <c r="I159" s="4"/>
      <c r="J159" s="1"/>
    </row>
    <row r="160" spans="1:10" ht="15">
      <c r="A160" s="1"/>
      <c r="B160" s="2"/>
      <c r="C160" s="3"/>
      <c r="D160" s="3"/>
      <c r="E160" s="3"/>
      <c r="F160" s="3"/>
      <c r="G160" s="4"/>
      <c r="H160" s="4"/>
      <c r="I160" s="4"/>
      <c r="J160" s="1"/>
    </row>
    <row r="161" spans="1:10" ht="15">
      <c r="A161" s="1"/>
      <c r="B161" s="2"/>
      <c r="C161" s="3"/>
      <c r="D161" s="3"/>
      <c r="E161" s="3"/>
      <c r="F161" s="3"/>
      <c r="G161" s="4"/>
      <c r="H161" s="4"/>
      <c r="I161" s="4"/>
      <c r="J161" s="1"/>
    </row>
    <row r="162" spans="1:10" ht="15">
      <c r="A162" s="1"/>
      <c r="B162" s="2"/>
      <c r="C162" s="3"/>
      <c r="D162" s="3"/>
      <c r="E162" s="3"/>
      <c r="F162" s="3"/>
      <c r="G162" s="4"/>
      <c r="H162" s="4"/>
      <c r="I162" s="4"/>
      <c r="J162" s="1"/>
    </row>
    <row r="163" spans="1:10" ht="15">
      <c r="A163" s="1"/>
      <c r="B163" s="2"/>
      <c r="C163" s="3"/>
      <c r="D163" s="3"/>
      <c r="E163" s="3"/>
      <c r="F163" s="3"/>
      <c r="G163" s="4"/>
      <c r="H163" s="4"/>
      <c r="I163" s="4"/>
      <c r="J163" s="1"/>
    </row>
    <row r="164" spans="1:10" ht="15">
      <c r="A164" s="1"/>
      <c r="B164" s="2"/>
      <c r="C164" s="3"/>
      <c r="D164" s="3"/>
      <c r="E164" s="3"/>
      <c r="F164" s="3"/>
      <c r="G164" s="4"/>
      <c r="H164" s="4"/>
      <c r="I164" s="4"/>
      <c r="J164" s="1"/>
    </row>
    <row r="165" spans="1:10" ht="15">
      <c r="A165" s="1"/>
      <c r="B165" s="2"/>
      <c r="C165" s="3"/>
      <c r="D165" s="3"/>
      <c r="E165" s="3"/>
      <c r="F165" s="3"/>
      <c r="G165" s="4"/>
      <c r="H165" s="4"/>
      <c r="I165" s="4"/>
      <c r="J165" s="1"/>
    </row>
    <row r="166" spans="1:10" ht="15">
      <c r="A166" s="1"/>
      <c r="B166" s="2"/>
      <c r="C166" s="3"/>
      <c r="D166" s="3"/>
      <c r="E166" s="3"/>
      <c r="F166" s="3"/>
      <c r="G166" s="4"/>
      <c r="H166" s="4"/>
      <c r="I166" s="4"/>
      <c r="J166" s="1"/>
    </row>
    <row r="167" spans="1:10" ht="15">
      <c r="A167" s="1"/>
      <c r="B167" s="2"/>
      <c r="C167" s="3"/>
      <c r="D167" s="3"/>
      <c r="E167" s="3"/>
      <c r="F167" s="3"/>
      <c r="G167" s="4"/>
      <c r="H167" s="4"/>
      <c r="I167" s="4"/>
      <c r="J167" s="1"/>
    </row>
    <row r="168" spans="1:10" ht="15">
      <c r="A168" s="1"/>
      <c r="B168" s="2"/>
      <c r="C168" s="3"/>
      <c r="D168" s="3"/>
      <c r="E168" s="3"/>
      <c r="F168" s="3"/>
      <c r="G168" s="4"/>
      <c r="H168" s="4"/>
      <c r="I168" s="4"/>
      <c r="J168" s="1"/>
    </row>
    <row r="169" spans="1:10" ht="15">
      <c r="A169" s="1"/>
      <c r="B169" s="2"/>
      <c r="C169" s="3"/>
      <c r="D169" s="3"/>
      <c r="E169" s="3"/>
      <c r="F169" s="3"/>
      <c r="G169" s="4"/>
      <c r="H169" s="4"/>
      <c r="I169" s="4"/>
      <c r="J169" s="1"/>
    </row>
    <row r="170" spans="1:10" ht="15">
      <c r="A170" s="1"/>
      <c r="B170" s="2"/>
      <c r="C170" s="3"/>
      <c r="D170" s="3"/>
      <c r="E170" s="3"/>
      <c r="F170" s="3"/>
      <c r="G170" s="4"/>
      <c r="H170" s="4"/>
      <c r="I170" s="4"/>
      <c r="J170" s="1"/>
    </row>
    <row r="171" spans="1:10" ht="15">
      <c r="A171" s="1"/>
      <c r="B171" s="2"/>
      <c r="C171" s="3"/>
      <c r="D171" s="3"/>
      <c r="E171" s="3"/>
      <c r="F171" s="3"/>
      <c r="G171" s="4"/>
      <c r="H171" s="4"/>
      <c r="I171" s="4"/>
      <c r="J171" s="1"/>
    </row>
    <row r="172" spans="1:10" ht="15">
      <c r="A172" s="1"/>
      <c r="B172" s="2"/>
      <c r="C172" s="3"/>
      <c r="D172" s="3"/>
      <c r="E172" s="3"/>
      <c r="F172" s="3"/>
      <c r="G172" s="4"/>
      <c r="H172" s="4"/>
      <c r="I172" s="4"/>
      <c r="J172" s="1"/>
    </row>
    <row r="173" spans="1:10" ht="15">
      <c r="A173" s="1"/>
      <c r="B173" s="2"/>
      <c r="C173" s="3"/>
      <c r="D173" s="3"/>
      <c r="E173" s="3"/>
      <c r="F173" s="3"/>
      <c r="G173" s="4"/>
      <c r="H173" s="4"/>
      <c r="I173" s="4"/>
      <c r="J173" s="1"/>
    </row>
    <row r="174" spans="1:10" ht="15">
      <c r="A174" s="1"/>
      <c r="B174" s="2"/>
      <c r="C174" s="3"/>
      <c r="D174" s="3"/>
      <c r="E174" s="3"/>
      <c r="F174" s="3"/>
      <c r="G174" s="4"/>
      <c r="H174" s="4"/>
      <c r="I174" s="4"/>
      <c r="J174" s="1"/>
    </row>
    <row r="175" spans="1:10" ht="15">
      <c r="A175" s="1"/>
      <c r="B175" s="2"/>
      <c r="C175" s="3"/>
      <c r="D175" s="3"/>
      <c r="E175" s="3"/>
      <c r="F175" s="3"/>
      <c r="G175" s="4"/>
      <c r="H175" s="4"/>
      <c r="I175" s="4"/>
      <c r="J175" s="1"/>
    </row>
    <row r="176" spans="1:10" ht="15">
      <c r="A176" s="1"/>
      <c r="B176" s="2"/>
      <c r="C176" s="3"/>
      <c r="D176" s="3"/>
      <c r="E176" s="3"/>
      <c r="F176" s="3"/>
      <c r="G176" s="4"/>
      <c r="H176" s="4"/>
      <c r="I176" s="4"/>
      <c r="J176" s="1"/>
    </row>
    <row r="177" spans="1:10" ht="15">
      <c r="A177" s="1"/>
      <c r="B177" s="2"/>
      <c r="C177" s="3"/>
      <c r="D177" s="3"/>
      <c r="E177" s="3"/>
      <c r="F177" s="3"/>
      <c r="G177" s="4"/>
      <c r="H177" s="4"/>
      <c r="I177" s="4"/>
      <c r="J177" s="1"/>
    </row>
    <row r="178" spans="1:10" ht="15">
      <c r="A178" s="1"/>
      <c r="B178" s="2"/>
      <c r="C178" s="3"/>
      <c r="D178" s="3"/>
      <c r="E178" s="3"/>
      <c r="F178" s="3"/>
      <c r="G178" s="4"/>
      <c r="H178" s="4"/>
      <c r="I178" s="4"/>
      <c r="J178" s="1"/>
    </row>
    <row r="179" spans="1:10" ht="15">
      <c r="A179" s="1"/>
      <c r="B179" s="2"/>
      <c r="C179" s="3"/>
      <c r="D179" s="3"/>
      <c r="E179" s="3"/>
      <c r="F179" s="3"/>
      <c r="G179" s="4"/>
      <c r="H179" s="4"/>
      <c r="I179" s="4"/>
      <c r="J179" s="1"/>
    </row>
    <row r="180" spans="1:10" ht="15">
      <c r="A180" s="1"/>
      <c r="B180" s="2"/>
      <c r="C180" s="3"/>
      <c r="D180" s="3"/>
      <c r="E180" s="3"/>
      <c r="F180" s="3"/>
      <c r="G180" s="4"/>
      <c r="H180" s="4"/>
      <c r="I180" s="4"/>
      <c r="J180" s="1"/>
    </row>
    <row r="181" spans="1:10" ht="15">
      <c r="A181" s="1"/>
      <c r="B181" s="2"/>
      <c r="C181" s="3"/>
      <c r="D181" s="3"/>
      <c r="E181" s="3"/>
      <c r="F181" s="3"/>
      <c r="G181" s="4"/>
      <c r="H181" s="4"/>
      <c r="I181" s="4"/>
      <c r="J181" s="1"/>
    </row>
    <row r="182" spans="1:10" ht="15">
      <c r="A182" s="1"/>
      <c r="B182" s="2"/>
      <c r="C182" s="3"/>
      <c r="D182" s="3"/>
      <c r="E182" s="3"/>
      <c r="F182" s="3"/>
      <c r="G182" s="4"/>
      <c r="H182" s="4"/>
      <c r="I182" s="4"/>
      <c r="J182" s="1"/>
    </row>
    <row r="183" spans="1:10" ht="15">
      <c r="A183" s="1"/>
      <c r="B183" s="2"/>
      <c r="C183" s="3"/>
      <c r="D183" s="3"/>
      <c r="E183" s="3"/>
      <c r="F183" s="3"/>
      <c r="G183" s="4"/>
      <c r="H183" s="4"/>
      <c r="I183" s="4"/>
      <c r="J183" s="1"/>
    </row>
    <row r="184" spans="1:10" ht="15">
      <c r="A184" s="1"/>
      <c r="B184" s="2"/>
      <c r="C184" s="3"/>
      <c r="D184" s="3"/>
      <c r="E184" s="3"/>
      <c r="F184" s="3"/>
      <c r="G184" s="4"/>
      <c r="H184" s="4"/>
      <c r="I184" s="4"/>
      <c r="J184" s="1"/>
    </row>
    <row r="185" spans="1:10" ht="15">
      <c r="A185" s="1"/>
      <c r="B185" s="2"/>
      <c r="C185" s="3"/>
      <c r="D185" s="3"/>
      <c r="E185" s="3"/>
      <c r="F185" s="3"/>
      <c r="G185" s="4"/>
      <c r="H185" s="4"/>
      <c r="I185" s="4"/>
      <c r="J185" s="1"/>
    </row>
    <row r="186" spans="1:10" ht="15">
      <c r="A186" s="1"/>
      <c r="B186" s="2"/>
      <c r="C186" s="3"/>
      <c r="D186" s="3"/>
      <c r="E186" s="3"/>
      <c r="F186" s="3"/>
      <c r="G186" s="4"/>
      <c r="H186" s="4"/>
      <c r="I186" s="4"/>
      <c r="J186" s="1"/>
    </row>
    <row r="187" spans="1:10" ht="15">
      <c r="A187" s="1"/>
      <c r="B187" s="2"/>
      <c r="C187" s="3"/>
      <c r="D187" s="3"/>
      <c r="E187" s="3"/>
      <c r="F187" s="3"/>
      <c r="G187" s="4"/>
      <c r="H187" s="4"/>
      <c r="I187" s="4"/>
      <c r="J187" s="1"/>
    </row>
    <row r="188" spans="1:10" ht="15">
      <c r="A188" s="1"/>
      <c r="B188" s="2"/>
      <c r="C188" s="3"/>
      <c r="D188" s="3"/>
      <c r="E188" s="3"/>
      <c r="F188" s="3"/>
      <c r="G188" s="4"/>
      <c r="H188" s="4"/>
      <c r="I188" s="4"/>
      <c r="J188" s="1"/>
    </row>
    <row r="189" spans="1:10" ht="15">
      <c r="A189" s="1"/>
      <c r="B189" s="2"/>
      <c r="C189" s="3"/>
      <c r="D189" s="3"/>
      <c r="E189" s="3"/>
      <c r="F189" s="3"/>
      <c r="G189" s="4"/>
      <c r="H189" s="4"/>
      <c r="I189" s="4"/>
      <c r="J189" s="1"/>
    </row>
    <row r="190" spans="1:10" ht="15">
      <c r="A190" s="1"/>
      <c r="B190" s="2"/>
      <c r="C190" s="3"/>
      <c r="D190" s="3"/>
      <c r="E190" s="3"/>
      <c r="F190" s="3"/>
      <c r="G190" s="4"/>
      <c r="H190" s="4"/>
      <c r="I190" s="4"/>
      <c r="J190" s="1"/>
    </row>
    <row r="191" spans="1:10" ht="15">
      <c r="A191" s="1"/>
      <c r="B191" s="2"/>
      <c r="C191" s="3"/>
      <c r="D191" s="3"/>
      <c r="E191" s="3"/>
      <c r="F191" s="3"/>
      <c r="G191" s="4"/>
      <c r="H191" s="4"/>
      <c r="I191" s="4"/>
      <c r="J191" s="1"/>
    </row>
    <row r="192" spans="1:10" ht="15">
      <c r="A192" s="1"/>
      <c r="B192" s="2"/>
      <c r="C192" s="3"/>
      <c r="D192" s="3"/>
      <c r="E192" s="3"/>
      <c r="F192" s="3"/>
      <c r="G192" s="4"/>
      <c r="H192" s="4"/>
      <c r="I192" s="4"/>
      <c r="J192" s="1"/>
    </row>
    <row r="193" spans="1:10" ht="15">
      <c r="A193" s="1"/>
      <c r="B193" s="2"/>
      <c r="C193" s="3"/>
      <c r="D193" s="3"/>
      <c r="E193" s="3"/>
      <c r="F193" s="3"/>
      <c r="G193" s="4"/>
      <c r="H193" s="4"/>
      <c r="I193" s="4"/>
      <c r="J193" s="1"/>
    </row>
    <row r="194" spans="1:10" ht="15">
      <c r="A194" s="1"/>
      <c r="B194" s="2"/>
      <c r="C194" s="3"/>
      <c r="D194" s="3"/>
      <c r="E194" s="3"/>
      <c r="F194" s="3"/>
      <c r="G194" s="4"/>
      <c r="H194" s="4"/>
      <c r="I194" s="4"/>
      <c r="J194" s="1"/>
    </row>
    <row r="195" spans="1:10" ht="15">
      <c r="A195" s="1"/>
      <c r="B195" s="2"/>
      <c r="C195" s="3"/>
      <c r="D195" s="3"/>
      <c r="E195" s="3"/>
      <c r="F195" s="3"/>
      <c r="G195" s="4"/>
      <c r="H195" s="4"/>
      <c r="I195" s="4"/>
      <c r="J195" s="1"/>
    </row>
    <row r="196" spans="1:10" ht="15">
      <c r="A196" s="1"/>
      <c r="B196" s="2"/>
      <c r="C196" s="3"/>
      <c r="D196" s="3"/>
      <c r="E196" s="3"/>
      <c r="F196" s="3"/>
      <c r="G196" s="4"/>
      <c r="H196" s="4"/>
      <c r="I196" s="4"/>
      <c r="J196" s="1"/>
    </row>
    <row r="197" spans="1:10" ht="15">
      <c r="A197" s="1"/>
      <c r="B197" s="2"/>
      <c r="C197" s="3"/>
      <c r="D197" s="3"/>
      <c r="E197" s="3"/>
      <c r="F197" s="3"/>
      <c r="G197" s="4"/>
      <c r="H197" s="4"/>
      <c r="I197" s="4"/>
      <c r="J197" s="1"/>
    </row>
    <row r="198" spans="1:10" ht="15">
      <c r="A198" s="1"/>
      <c r="B198" s="2"/>
      <c r="C198" s="3"/>
      <c r="D198" s="3"/>
      <c r="E198" s="3"/>
      <c r="F198" s="3"/>
      <c r="G198" s="4"/>
      <c r="H198" s="4"/>
      <c r="I198" s="4"/>
      <c r="J198" s="1"/>
    </row>
    <row r="199" spans="1:10" ht="15">
      <c r="A199" s="1"/>
      <c r="B199" s="2"/>
      <c r="C199" s="3"/>
      <c r="D199" s="3"/>
      <c r="E199" s="3"/>
      <c r="F199" s="3"/>
      <c r="G199" s="4"/>
      <c r="H199" s="4"/>
      <c r="I199" s="4"/>
      <c r="J199" s="1"/>
    </row>
    <row r="200" spans="1:10" ht="15">
      <c r="A200" s="1"/>
      <c r="B200" s="2"/>
      <c r="C200" s="3"/>
      <c r="D200" s="3"/>
      <c r="E200" s="3"/>
      <c r="F200" s="3"/>
      <c r="G200" s="4"/>
      <c r="H200" s="4"/>
      <c r="I200" s="4"/>
      <c r="J200" s="1"/>
    </row>
    <row r="201" spans="1:10" ht="15">
      <c r="A201" s="1"/>
      <c r="B201" s="2"/>
      <c r="C201" s="3"/>
      <c r="D201" s="3"/>
      <c r="E201" s="3"/>
      <c r="F201" s="3"/>
      <c r="G201" s="4"/>
      <c r="H201" s="4"/>
      <c r="I201" s="4"/>
      <c r="J201" s="1"/>
    </row>
    <row r="202" spans="1:10" ht="15">
      <c r="A202" s="1"/>
      <c r="B202" s="2"/>
      <c r="C202" s="3"/>
      <c r="D202" s="3"/>
      <c r="E202" s="3"/>
      <c r="F202" s="3"/>
      <c r="G202" s="4"/>
      <c r="H202" s="4"/>
      <c r="I202" s="4"/>
      <c r="J202" s="1"/>
    </row>
    <row r="203" spans="1:10" ht="15">
      <c r="A203" s="1"/>
      <c r="B203" s="2"/>
      <c r="C203" s="3"/>
      <c r="D203" s="3"/>
      <c r="E203" s="3"/>
      <c r="F203" s="3"/>
      <c r="G203" s="4"/>
      <c r="H203" s="4"/>
      <c r="I203" s="4"/>
      <c r="J203" s="1"/>
    </row>
    <row r="204" spans="1:10" ht="15">
      <c r="A204" s="1"/>
      <c r="B204" s="2"/>
      <c r="C204" s="3"/>
      <c r="D204" s="3"/>
      <c r="E204" s="3"/>
      <c r="F204" s="3"/>
      <c r="G204" s="4"/>
      <c r="H204" s="4"/>
      <c r="I204" s="4"/>
      <c r="J204" s="1"/>
    </row>
    <row r="205" spans="1:10" ht="15">
      <c r="A205" s="1"/>
      <c r="B205" s="2"/>
      <c r="C205" s="3"/>
      <c r="D205" s="3"/>
      <c r="E205" s="3"/>
      <c r="F205" s="3"/>
      <c r="G205" s="4"/>
      <c r="H205" s="4"/>
      <c r="I205" s="4"/>
      <c r="J205" s="1"/>
    </row>
    <row r="206" spans="1:10" ht="15">
      <c r="A206" s="1"/>
      <c r="B206" s="2"/>
      <c r="C206" s="3"/>
      <c r="D206" s="3"/>
      <c r="E206" s="3"/>
      <c r="F206" s="3"/>
      <c r="G206" s="4"/>
      <c r="H206" s="4"/>
      <c r="I206" s="4"/>
      <c r="J206" s="1"/>
    </row>
    <row r="207" spans="1:10" ht="15">
      <c r="A207" s="1"/>
      <c r="B207" s="2"/>
      <c r="C207" s="3"/>
      <c r="D207" s="3"/>
      <c r="E207" s="3"/>
      <c r="F207" s="3"/>
      <c r="G207" s="4"/>
      <c r="H207" s="4"/>
      <c r="I207" s="4"/>
      <c r="J207" s="1"/>
    </row>
    <row r="208" spans="1:10" ht="15">
      <c r="A208" s="1"/>
      <c r="B208" s="2"/>
      <c r="C208" s="3"/>
      <c r="D208" s="3"/>
      <c r="E208" s="3"/>
      <c r="F208" s="3"/>
      <c r="G208" s="4"/>
      <c r="H208" s="4"/>
      <c r="I208" s="4"/>
      <c r="J208" s="1"/>
    </row>
    <row r="209" spans="1:10" ht="15">
      <c r="A209" s="1"/>
      <c r="B209" s="2"/>
      <c r="C209" s="3"/>
      <c r="D209" s="3"/>
      <c r="E209" s="3"/>
      <c r="F209" s="3"/>
      <c r="G209" s="4"/>
      <c r="H209" s="4"/>
      <c r="I209" s="4"/>
      <c r="J209" s="1"/>
    </row>
    <row r="210" spans="1:10" ht="15">
      <c r="A210" s="1"/>
      <c r="B210" s="2"/>
      <c r="C210" s="3"/>
      <c r="D210" s="3"/>
      <c r="E210" s="3"/>
      <c r="F210" s="3"/>
      <c r="G210" s="4"/>
      <c r="H210" s="4"/>
      <c r="I210" s="4"/>
      <c r="J210" s="1"/>
    </row>
    <row r="211" spans="1:10" ht="15">
      <c r="A211" s="1"/>
      <c r="B211" s="2"/>
      <c r="C211" s="3"/>
      <c r="D211" s="3"/>
      <c r="E211" s="3"/>
      <c r="F211" s="3"/>
      <c r="G211" s="4"/>
      <c r="H211" s="4"/>
      <c r="I211" s="4"/>
      <c r="J211" s="1"/>
    </row>
    <row r="212" spans="1:10" ht="15">
      <c r="A212" s="1"/>
      <c r="B212" s="2"/>
      <c r="C212" s="3"/>
      <c r="D212" s="3"/>
      <c r="E212" s="3"/>
      <c r="F212" s="3"/>
      <c r="G212" s="4"/>
      <c r="H212" s="4"/>
      <c r="I212" s="4"/>
      <c r="J212" s="1"/>
    </row>
    <row r="213" spans="1:10" ht="15">
      <c r="A213" s="1"/>
      <c r="B213" s="2"/>
      <c r="C213" s="3"/>
      <c r="D213" s="3"/>
      <c r="E213" s="3"/>
      <c r="F213" s="3"/>
      <c r="G213" s="4"/>
      <c r="H213" s="4"/>
      <c r="I213" s="4"/>
      <c r="J213" s="1"/>
    </row>
    <row r="214" spans="1:10" ht="15">
      <c r="A214" s="1"/>
      <c r="B214" s="2"/>
      <c r="C214" s="3"/>
      <c r="D214" s="3"/>
      <c r="E214" s="3"/>
      <c r="F214" s="3"/>
      <c r="G214" s="4"/>
      <c r="H214" s="4"/>
      <c r="I214" s="4"/>
      <c r="J214" s="1"/>
    </row>
    <row r="215" spans="1:10" ht="15">
      <c r="A215" s="1"/>
      <c r="B215" s="2"/>
      <c r="C215" s="3"/>
      <c r="D215" s="3"/>
      <c r="E215" s="3"/>
      <c r="F215" s="3"/>
      <c r="G215" s="4"/>
      <c r="H215" s="4"/>
      <c r="I215" s="4"/>
      <c r="J215" s="1"/>
    </row>
    <row r="216" spans="1:10" ht="15">
      <c r="A216" s="1"/>
      <c r="B216" s="2"/>
      <c r="C216" s="3"/>
      <c r="D216" s="3"/>
      <c r="E216" s="3"/>
      <c r="F216" s="3"/>
      <c r="G216" s="4"/>
      <c r="H216" s="4"/>
      <c r="I216" s="4"/>
      <c r="J216" s="1"/>
    </row>
    <row r="217" spans="1:10" ht="15">
      <c r="A217" s="1"/>
      <c r="B217" s="2"/>
      <c r="C217" s="3"/>
      <c r="D217" s="3"/>
      <c r="E217" s="3"/>
      <c r="F217" s="3"/>
      <c r="G217" s="4"/>
      <c r="H217" s="4"/>
      <c r="I217" s="4"/>
      <c r="J217" s="1"/>
    </row>
    <row r="218" spans="1:10" ht="15">
      <c r="A218" s="1"/>
      <c r="B218" s="2"/>
      <c r="C218" s="3"/>
      <c r="D218" s="3"/>
      <c r="E218" s="3"/>
      <c r="F218" s="3"/>
      <c r="G218" s="4"/>
      <c r="H218" s="4"/>
      <c r="I218" s="4"/>
      <c r="J218" s="1"/>
    </row>
    <row r="219" spans="1:10" ht="15">
      <c r="A219" s="1"/>
      <c r="B219" s="2"/>
      <c r="C219" s="3"/>
      <c r="D219" s="3"/>
      <c r="E219" s="3"/>
      <c r="F219" s="3"/>
      <c r="G219" s="4"/>
      <c r="H219" s="4"/>
      <c r="I219" s="4"/>
      <c r="J219" s="1"/>
    </row>
    <row r="220" spans="1:10" ht="15">
      <c r="A220" s="1"/>
      <c r="B220" s="2"/>
      <c r="C220" s="3"/>
      <c r="D220" s="3"/>
      <c r="E220" s="3"/>
      <c r="F220" s="3"/>
      <c r="G220" s="4"/>
      <c r="H220" s="4"/>
      <c r="I220" s="4"/>
      <c r="J220" s="1"/>
    </row>
    <row r="221" spans="1:10" ht="15">
      <c r="A221" s="1"/>
      <c r="B221" s="2"/>
      <c r="C221" s="3"/>
      <c r="D221" s="3"/>
      <c r="E221" s="3"/>
      <c r="F221" s="3"/>
      <c r="G221" s="4"/>
      <c r="H221" s="4"/>
      <c r="I221" s="4"/>
      <c r="J221" s="1"/>
    </row>
    <row r="222" spans="1:10" ht="15">
      <c r="A222" s="1"/>
      <c r="B222" s="2"/>
      <c r="C222" s="3"/>
      <c r="D222" s="3"/>
      <c r="E222" s="3"/>
      <c r="F222" s="3"/>
      <c r="G222" s="4"/>
      <c r="H222" s="4"/>
      <c r="I222" s="4"/>
      <c r="J222" s="1"/>
    </row>
    <row r="223" spans="1:10" ht="15">
      <c r="A223" s="1"/>
      <c r="B223" s="2"/>
      <c r="C223" s="3"/>
      <c r="D223" s="3"/>
      <c r="E223" s="3"/>
      <c r="F223" s="3"/>
      <c r="G223" s="4"/>
      <c r="H223" s="4"/>
      <c r="I223" s="4"/>
      <c r="J223" s="1"/>
    </row>
    <row r="224" spans="1:10" ht="15">
      <c r="A224" s="1"/>
      <c r="B224" s="2"/>
      <c r="C224" s="3"/>
      <c r="D224" s="3"/>
      <c r="E224" s="3"/>
      <c r="F224" s="3"/>
      <c r="G224" s="4"/>
      <c r="H224" s="4"/>
      <c r="I224" s="4"/>
      <c r="J224" s="1"/>
    </row>
    <row r="225" spans="1:10" ht="15">
      <c r="A225" s="1"/>
      <c r="B225" s="2"/>
      <c r="C225" s="3"/>
      <c r="D225" s="3"/>
      <c r="E225" s="3"/>
      <c r="F225" s="3"/>
      <c r="G225" s="4"/>
      <c r="H225" s="4"/>
      <c r="I225" s="4"/>
      <c r="J225" s="1"/>
    </row>
    <row r="226" spans="1:10" ht="15">
      <c r="A226" s="1"/>
      <c r="B226" s="2"/>
      <c r="C226" s="3"/>
      <c r="D226" s="3"/>
      <c r="E226" s="3"/>
      <c r="F226" s="3"/>
      <c r="G226" s="4"/>
      <c r="H226" s="4"/>
      <c r="I226" s="4"/>
      <c r="J226" s="1"/>
    </row>
    <row r="227" spans="1:10" ht="15">
      <c r="A227" s="1"/>
      <c r="B227" s="2"/>
      <c r="C227" s="3"/>
      <c r="D227" s="3"/>
      <c r="E227" s="3"/>
      <c r="F227" s="3"/>
      <c r="G227" s="4"/>
      <c r="H227" s="4"/>
      <c r="I227" s="4"/>
      <c r="J227" s="1"/>
    </row>
    <row r="228" spans="1:10" ht="15">
      <c r="A228" s="1"/>
      <c r="B228" s="2"/>
      <c r="C228" s="3"/>
      <c r="D228" s="3"/>
      <c r="E228" s="3"/>
      <c r="F228" s="3"/>
      <c r="G228" s="4"/>
      <c r="H228" s="4"/>
      <c r="I228" s="4"/>
      <c r="J228" s="1"/>
    </row>
    <row r="229" spans="1:10" ht="15">
      <c r="A229" s="1"/>
      <c r="B229" s="2"/>
      <c r="C229" s="3"/>
      <c r="D229" s="3"/>
      <c r="E229" s="3"/>
      <c r="F229" s="3"/>
      <c r="G229" s="4"/>
      <c r="H229" s="4"/>
      <c r="I229" s="4"/>
      <c r="J229" s="1"/>
    </row>
    <row r="230" spans="1:10" ht="15">
      <c r="A230" s="1"/>
      <c r="B230" s="2"/>
      <c r="C230" s="3"/>
      <c r="D230" s="3"/>
      <c r="E230" s="3"/>
      <c r="F230" s="3"/>
      <c r="G230" s="4"/>
      <c r="H230" s="4"/>
      <c r="I230" s="4"/>
      <c r="J230" s="1"/>
    </row>
    <row r="231" spans="1:10" ht="15">
      <c r="A231" s="1"/>
      <c r="B231" s="2"/>
      <c r="C231" s="3"/>
      <c r="D231" s="3"/>
      <c r="E231" s="3"/>
      <c r="F231" s="3"/>
      <c r="G231" s="4"/>
      <c r="H231" s="4"/>
      <c r="I231" s="4"/>
      <c r="J231" s="1"/>
    </row>
    <row r="232" spans="1:10" ht="15">
      <c r="A232" s="1"/>
      <c r="B232" s="2"/>
      <c r="C232" s="3"/>
      <c r="D232" s="3"/>
      <c r="E232" s="3"/>
      <c r="F232" s="3"/>
      <c r="G232" s="4"/>
      <c r="H232" s="4"/>
      <c r="I232" s="4"/>
      <c r="J232" s="1"/>
    </row>
    <row r="233" spans="1:10" ht="15">
      <c r="A233" s="1"/>
      <c r="B233" s="2"/>
      <c r="C233" s="3"/>
      <c r="D233" s="3"/>
      <c r="E233" s="3"/>
      <c r="F233" s="3"/>
      <c r="G233" s="4"/>
      <c r="H233" s="4"/>
      <c r="I233" s="4"/>
      <c r="J233" s="1"/>
    </row>
    <row r="234" spans="1:10" ht="15">
      <c r="A234" s="1"/>
      <c r="B234" s="2"/>
      <c r="C234" s="3"/>
      <c r="D234" s="3"/>
      <c r="E234" s="3"/>
      <c r="F234" s="3"/>
      <c r="G234" s="4"/>
      <c r="H234" s="4"/>
      <c r="I234" s="4"/>
      <c r="J234" s="1"/>
    </row>
    <row r="235" spans="1:10" ht="15">
      <c r="A235" s="1"/>
      <c r="B235" s="2"/>
      <c r="C235" s="3"/>
      <c r="D235" s="3"/>
      <c r="E235" s="3"/>
      <c r="F235" s="3"/>
      <c r="G235" s="4"/>
      <c r="H235" s="4"/>
      <c r="I235" s="4"/>
      <c r="J235" s="1"/>
    </row>
    <row r="236" spans="1:10" ht="15">
      <c r="A236" s="1"/>
      <c r="B236" s="2"/>
      <c r="C236" s="3"/>
      <c r="D236" s="3"/>
      <c r="E236" s="3"/>
      <c r="F236" s="3"/>
      <c r="G236" s="4"/>
      <c r="H236" s="4"/>
      <c r="I236" s="4"/>
      <c r="J236" s="1"/>
    </row>
    <row r="237" spans="1:10" ht="15">
      <c r="A237" s="1"/>
      <c r="B237" s="2"/>
      <c r="C237" s="3"/>
      <c r="D237" s="3"/>
      <c r="E237" s="3"/>
      <c r="F237" s="3"/>
      <c r="G237" s="4"/>
      <c r="H237" s="4"/>
      <c r="I237" s="4"/>
      <c r="J237" s="1"/>
    </row>
    <row r="238" spans="1:10" ht="15">
      <c r="A238" s="1"/>
      <c r="B238" s="2"/>
      <c r="C238" s="3"/>
      <c r="D238" s="3"/>
      <c r="E238" s="3"/>
      <c r="F238" s="3"/>
      <c r="G238" s="4"/>
      <c r="H238" s="4"/>
      <c r="I238" s="4"/>
      <c r="J238" s="1"/>
    </row>
    <row r="239" spans="1:10" ht="15">
      <c r="A239" s="1"/>
      <c r="B239" s="2"/>
      <c r="C239" s="3"/>
      <c r="D239" s="3"/>
      <c r="E239" s="3"/>
      <c r="F239" s="3"/>
      <c r="G239" s="4"/>
      <c r="H239" s="4"/>
      <c r="I239" s="4"/>
      <c r="J239" s="1"/>
    </row>
    <row r="240" spans="1:10" ht="15">
      <c r="A240" s="1"/>
      <c r="B240" s="2"/>
      <c r="C240" s="3"/>
      <c r="D240" s="3"/>
      <c r="E240" s="3"/>
      <c r="F240" s="3"/>
      <c r="G240" s="4"/>
      <c r="H240" s="4"/>
      <c r="I240" s="4"/>
      <c r="J240" s="1"/>
    </row>
    <row r="241" spans="1:10" ht="15">
      <c r="A241" s="1"/>
      <c r="B241" s="2"/>
      <c r="C241" s="3"/>
      <c r="D241" s="3"/>
      <c r="E241" s="3"/>
      <c r="F241" s="3"/>
      <c r="G241" s="4"/>
      <c r="H241" s="4"/>
      <c r="I241" s="4"/>
      <c r="J241" s="1"/>
    </row>
    <row r="242" spans="1:10" ht="15">
      <c r="A242" s="1"/>
      <c r="B242" s="2"/>
      <c r="C242" s="3"/>
      <c r="D242" s="3"/>
      <c r="E242" s="3"/>
      <c r="F242" s="3"/>
      <c r="G242" s="4"/>
      <c r="H242" s="4"/>
      <c r="I242" s="4"/>
      <c r="J242" s="1"/>
    </row>
    <row r="243" spans="1:10" ht="15">
      <c r="A243" s="1"/>
      <c r="B243" s="2"/>
      <c r="C243" s="3"/>
      <c r="D243" s="3"/>
      <c r="E243" s="3"/>
      <c r="F243" s="3"/>
      <c r="G243" s="4"/>
      <c r="H243" s="4"/>
      <c r="I243" s="4"/>
      <c r="J243" s="1"/>
    </row>
    <row r="244" spans="1:10" ht="15">
      <c r="A244" s="1"/>
      <c r="B244" s="2"/>
      <c r="C244" s="3"/>
      <c r="D244" s="3"/>
      <c r="E244" s="3"/>
      <c r="F244" s="3"/>
      <c r="G244" s="4"/>
      <c r="H244" s="4"/>
      <c r="I244" s="4"/>
      <c r="J244" s="1"/>
    </row>
    <row r="245" spans="1:10" ht="15">
      <c r="A245" s="1"/>
      <c r="B245" s="2"/>
      <c r="C245" s="3"/>
      <c r="D245" s="3"/>
      <c r="E245" s="3"/>
      <c r="F245" s="3"/>
      <c r="G245" s="4"/>
      <c r="H245" s="4"/>
      <c r="I245" s="4"/>
      <c r="J245" s="1"/>
    </row>
    <row r="246" spans="1:10" ht="15">
      <c r="A246" s="1"/>
      <c r="B246" s="2"/>
      <c r="C246" s="3"/>
      <c r="D246" s="3"/>
      <c r="E246" s="3"/>
      <c r="F246" s="3"/>
      <c r="G246" s="4"/>
      <c r="H246" s="4"/>
      <c r="I246" s="4"/>
      <c r="J246" s="1"/>
    </row>
    <row r="247" spans="1:10" ht="15">
      <c r="A247" s="1"/>
      <c r="B247" s="2"/>
      <c r="C247" s="3"/>
      <c r="D247" s="3"/>
      <c r="E247" s="3"/>
      <c r="F247" s="3"/>
      <c r="G247" s="4"/>
      <c r="H247" s="4"/>
      <c r="I247" s="4"/>
      <c r="J247" s="1"/>
    </row>
    <row r="248" spans="1:10" ht="15">
      <c r="A248" s="1"/>
      <c r="B248" s="2"/>
      <c r="C248" s="3"/>
      <c r="D248" s="3"/>
      <c r="E248" s="3"/>
      <c r="F248" s="3"/>
      <c r="G248" s="4"/>
      <c r="H248" s="4"/>
      <c r="I248" s="4"/>
      <c r="J248" s="1"/>
    </row>
    <row r="249" spans="1:10" ht="15">
      <c r="A249" s="1"/>
      <c r="B249" s="2"/>
      <c r="C249" s="3"/>
      <c r="D249" s="3"/>
      <c r="E249" s="3"/>
      <c r="F249" s="3"/>
      <c r="G249" s="4"/>
      <c r="H249" s="4"/>
      <c r="I249" s="4"/>
      <c r="J249" s="1"/>
    </row>
    <row r="250" spans="1:10" ht="15">
      <c r="A250" s="1"/>
      <c r="B250" s="2"/>
      <c r="C250" s="3"/>
      <c r="D250" s="3"/>
      <c r="E250" s="3"/>
      <c r="F250" s="3"/>
      <c r="G250" s="4"/>
      <c r="H250" s="4"/>
      <c r="I250" s="4"/>
      <c r="J250" s="1"/>
    </row>
    <row r="251" spans="1:10" ht="15">
      <c r="A251" s="1"/>
      <c r="B251" s="2"/>
      <c r="C251" s="3"/>
      <c r="D251" s="3"/>
      <c r="E251" s="3"/>
      <c r="F251" s="3"/>
      <c r="G251" s="4"/>
      <c r="H251" s="4"/>
      <c r="I251" s="4"/>
      <c r="J251" s="1"/>
    </row>
    <row r="252" spans="1:10" ht="15">
      <c r="A252" s="1"/>
      <c r="B252" s="2"/>
      <c r="C252" s="3"/>
      <c r="D252" s="3"/>
      <c r="E252" s="3"/>
      <c r="F252" s="3"/>
      <c r="G252" s="4"/>
      <c r="H252" s="4"/>
      <c r="I252" s="4"/>
      <c r="J252" s="1"/>
    </row>
    <row r="253" spans="1:10" ht="15">
      <c r="A253" s="1"/>
      <c r="B253" s="2"/>
      <c r="C253" s="3"/>
      <c r="D253" s="3"/>
      <c r="E253" s="3"/>
      <c r="F253" s="3"/>
      <c r="G253" s="4"/>
      <c r="H253" s="4"/>
      <c r="I253" s="4"/>
      <c r="J253" s="1"/>
    </row>
    <row r="254" spans="1:10" ht="15">
      <c r="A254" s="1"/>
      <c r="B254" s="2"/>
      <c r="C254" s="3"/>
      <c r="D254" s="3"/>
      <c r="E254" s="3"/>
      <c r="F254" s="3"/>
      <c r="G254" s="4"/>
      <c r="H254" s="4"/>
      <c r="I254" s="4"/>
      <c r="J254" s="1"/>
    </row>
    <row r="255" spans="1:10" ht="15">
      <c r="A255" s="1"/>
      <c r="B255" s="2"/>
      <c r="C255" s="3"/>
      <c r="D255" s="3"/>
      <c r="E255" s="3"/>
      <c r="F255" s="3"/>
      <c r="G255" s="4"/>
      <c r="H255" s="4"/>
      <c r="I255" s="4"/>
      <c r="J255" s="1"/>
    </row>
    <row r="256" spans="1:10" ht="15">
      <c r="A256" s="1"/>
      <c r="B256" s="2"/>
      <c r="C256" s="3"/>
      <c r="D256" s="3"/>
      <c r="E256" s="3"/>
      <c r="F256" s="3"/>
      <c r="G256" s="4"/>
      <c r="H256" s="4"/>
      <c r="I256" s="4"/>
      <c r="J256" s="1"/>
    </row>
    <row r="257" spans="1:10" ht="15">
      <c r="A257" s="1"/>
      <c r="B257" s="2"/>
      <c r="C257" s="3"/>
      <c r="D257" s="3"/>
      <c r="E257" s="3"/>
      <c r="F257" s="3"/>
      <c r="G257" s="4"/>
      <c r="H257" s="4"/>
      <c r="I257" s="4"/>
      <c r="J257" s="1"/>
    </row>
    <row r="258" spans="1:10" ht="15">
      <c r="A258" s="1"/>
      <c r="B258" s="2"/>
      <c r="C258" s="3"/>
      <c r="D258" s="3"/>
      <c r="E258" s="3"/>
      <c r="F258" s="3"/>
      <c r="G258" s="4"/>
      <c r="H258" s="4"/>
      <c r="I258" s="4"/>
      <c r="J258" s="1"/>
    </row>
    <row r="259" spans="1:10" ht="15">
      <c r="A259" s="1"/>
      <c r="B259" s="2"/>
      <c r="C259" s="3"/>
      <c r="D259" s="3"/>
      <c r="E259" s="3"/>
      <c r="F259" s="3"/>
      <c r="G259" s="4"/>
      <c r="H259" s="4"/>
      <c r="I259" s="4"/>
      <c r="J259" s="1"/>
    </row>
    <row r="260" spans="1:10" ht="15">
      <c r="A260" s="1"/>
      <c r="B260" s="2"/>
      <c r="C260" s="3"/>
      <c r="D260" s="3"/>
      <c r="E260" s="3"/>
      <c r="F260" s="3"/>
      <c r="G260" s="4"/>
      <c r="H260" s="4"/>
      <c r="I260" s="4"/>
      <c r="J260" s="1"/>
    </row>
    <row r="261" spans="1:10" ht="15">
      <c r="A261" s="1"/>
      <c r="B261" s="2"/>
      <c r="C261" s="3"/>
      <c r="D261" s="3"/>
      <c r="E261" s="3"/>
      <c r="F261" s="3"/>
      <c r="G261" s="4"/>
      <c r="H261" s="4"/>
      <c r="I261" s="4"/>
      <c r="J261" s="1"/>
    </row>
    <row r="262" spans="1:10" ht="15">
      <c r="A262" s="1"/>
      <c r="B262" s="2"/>
      <c r="C262" s="3"/>
      <c r="D262" s="3"/>
      <c r="E262" s="3"/>
      <c r="F262" s="3"/>
      <c r="G262" s="4"/>
      <c r="H262" s="4"/>
      <c r="I262" s="4"/>
      <c r="J262" s="1"/>
    </row>
    <row r="263" spans="1:10" ht="15">
      <c r="A263" s="1"/>
      <c r="B263" s="2"/>
      <c r="C263" s="3"/>
      <c r="D263" s="3"/>
      <c r="E263" s="3"/>
      <c r="F263" s="3"/>
      <c r="G263" s="4"/>
      <c r="H263" s="4"/>
      <c r="I263" s="4"/>
      <c r="J263" s="1"/>
    </row>
    <row r="264" spans="1:10" ht="15">
      <c r="A264" s="1"/>
      <c r="B264" s="2"/>
      <c r="C264" s="3"/>
      <c r="D264" s="3"/>
      <c r="E264" s="3"/>
      <c r="F264" s="3"/>
      <c r="G264" s="4"/>
      <c r="H264" s="4"/>
      <c r="I264" s="4"/>
      <c r="J264" s="1"/>
    </row>
    <row r="265" spans="1:10" ht="15">
      <c r="A265" s="1"/>
      <c r="B265" s="2"/>
      <c r="C265" s="3"/>
      <c r="D265" s="3"/>
      <c r="E265" s="3"/>
      <c r="F265" s="3"/>
      <c r="G265" s="4"/>
      <c r="H265" s="4"/>
      <c r="I265" s="4"/>
      <c r="J265" s="1"/>
    </row>
    <row r="266" spans="1:10" ht="15">
      <c r="A266" s="1"/>
      <c r="B266" s="2"/>
      <c r="C266" s="3"/>
      <c r="D266" s="3"/>
      <c r="E266" s="3"/>
      <c r="F266" s="3"/>
      <c r="G266" s="4"/>
      <c r="H266" s="4"/>
      <c r="I266" s="4"/>
      <c r="J266" s="1"/>
    </row>
    <row r="267" spans="1:10" ht="15">
      <c r="A267" s="1"/>
      <c r="B267" s="2"/>
      <c r="C267" s="3"/>
      <c r="D267" s="3"/>
      <c r="E267" s="3"/>
      <c r="F267" s="3"/>
      <c r="G267" s="4"/>
      <c r="H267" s="4"/>
      <c r="I267" s="4"/>
      <c r="J267" s="1"/>
    </row>
    <row r="268" spans="1:10" ht="15">
      <c r="A268" s="1"/>
      <c r="B268" s="2"/>
      <c r="C268" s="3"/>
      <c r="D268" s="3"/>
      <c r="E268" s="3"/>
      <c r="F268" s="3"/>
      <c r="G268" s="4"/>
      <c r="H268" s="4"/>
      <c r="I268" s="4"/>
      <c r="J268" s="1"/>
    </row>
    <row r="269" spans="1:10" ht="15">
      <c r="A269" s="1"/>
      <c r="B269" s="2"/>
      <c r="C269" s="3"/>
      <c r="D269" s="3"/>
      <c r="E269" s="3"/>
      <c r="F269" s="3"/>
      <c r="G269" s="4"/>
      <c r="H269" s="4"/>
      <c r="I269" s="4"/>
      <c r="J269" s="1"/>
    </row>
    <row r="270" spans="1:10" ht="15">
      <c r="A270" s="1"/>
      <c r="B270" s="2"/>
      <c r="C270" s="3"/>
      <c r="D270" s="3"/>
      <c r="E270" s="3"/>
      <c r="F270" s="3"/>
      <c r="G270" s="4"/>
      <c r="H270" s="4"/>
      <c r="I270" s="4"/>
      <c r="J270" s="1"/>
    </row>
    <row r="271" spans="1:10" ht="15">
      <c r="A271" s="1"/>
      <c r="B271" s="2"/>
      <c r="C271" s="3"/>
      <c r="D271" s="3"/>
      <c r="E271" s="3"/>
      <c r="F271" s="3"/>
      <c r="G271" s="4"/>
      <c r="H271" s="4"/>
      <c r="I271" s="4"/>
      <c r="J271" s="1"/>
    </row>
    <row r="272" spans="1:10" ht="15">
      <c r="A272" s="1"/>
      <c r="B272" s="2"/>
      <c r="C272" s="3"/>
      <c r="D272" s="3"/>
      <c r="E272" s="3"/>
      <c r="F272" s="3"/>
      <c r="G272" s="4"/>
      <c r="H272" s="4"/>
      <c r="I272" s="4"/>
      <c r="J272" s="1"/>
    </row>
    <row r="273" spans="1:10" ht="15">
      <c r="A273" s="1"/>
      <c r="B273" s="2"/>
      <c r="C273" s="3"/>
      <c r="D273" s="3"/>
      <c r="E273" s="3"/>
      <c r="F273" s="3"/>
      <c r="G273" s="4"/>
      <c r="H273" s="4"/>
      <c r="I273" s="4"/>
      <c r="J273" s="1"/>
    </row>
    <row r="274" spans="1:10" ht="15">
      <c r="A274" s="1"/>
      <c r="B274" s="2"/>
      <c r="C274" s="3"/>
      <c r="D274" s="3"/>
      <c r="E274" s="3"/>
      <c r="F274" s="3"/>
      <c r="G274" s="4"/>
      <c r="H274" s="4"/>
      <c r="I274" s="4"/>
      <c r="J274" s="1"/>
    </row>
    <row r="275" spans="1:10" ht="15">
      <c r="A275" s="1"/>
      <c r="B275" s="2"/>
      <c r="C275" s="3"/>
      <c r="D275" s="3"/>
      <c r="E275" s="3"/>
      <c r="F275" s="3"/>
      <c r="G275" s="4"/>
      <c r="H275" s="4"/>
      <c r="I275" s="4"/>
      <c r="J275" s="1"/>
    </row>
    <row r="276" spans="1:10" ht="15">
      <c r="A276" s="1"/>
      <c r="B276" s="2"/>
      <c r="C276" s="3"/>
      <c r="D276" s="3"/>
      <c r="E276" s="3"/>
      <c r="F276" s="3"/>
      <c r="G276" s="4"/>
      <c r="H276" s="4"/>
      <c r="I276" s="4"/>
      <c r="J276" s="1"/>
    </row>
    <row r="277" spans="1:10" ht="15">
      <c r="A277" s="1"/>
      <c r="B277" s="2"/>
      <c r="C277" s="3"/>
      <c r="D277" s="3"/>
      <c r="E277" s="3"/>
      <c r="F277" s="3"/>
      <c r="G277" s="4"/>
      <c r="H277" s="4"/>
      <c r="I277" s="4"/>
      <c r="J277" s="1"/>
    </row>
    <row r="278" spans="1:10" ht="15">
      <c r="A278" s="1"/>
      <c r="B278" s="2"/>
      <c r="C278" s="3"/>
      <c r="D278" s="3"/>
      <c r="E278" s="3"/>
      <c r="F278" s="3"/>
      <c r="G278" s="4"/>
      <c r="H278" s="4"/>
      <c r="I278" s="4"/>
      <c r="J278" s="1"/>
    </row>
    <row r="279" spans="1:10" ht="15">
      <c r="A279" s="1"/>
      <c r="B279" s="2"/>
      <c r="C279" s="3"/>
      <c r="D279" s="3"/>
      <c r="E279" s="3"/>
      <c r="F279" s="3"/>
      <c r="G279" s="4"/>
      <c r="H279" s="4"/>
      <c r="I279" s="4"/>
      <c r="J279" s="1"/>
    </row>
    <row r="280" spans="1:10" ht="15">
      <c r="A280" s="1"/>
      <c r="B280" s="2"/>
      <c r="C280" s="3"/>
      <c r="D280" s="3"/>
      <c r="E280" s="3"/>
      <c r="F280" s="3"/>
      <c r="G280" s="4"/>
      <c r="H280" s="4"/>
      <c r="I280" s="4"/>
      <c r="J280" s="1"/>
    </row>
    <row r="281" spans="1:10" ht="15">
      <c r="A281" s="1"/>
      <c r="B281" s="2"/>
      <c r="C281" s="3"/>
      <c r="D281" s="3"/>
      <c r="E281" s="3"/>
      <c r="F281" s="3"/>
      <c r="G281" s="4"/>
      <c r="H281" s="4"/>
      <c r="I281" s="4"/>
      <c r="J281" s="1"/>
    </row>
    <row r="282" spans="1:10" ht="15">
      <c r="A282" s="1"/>
      <c r="B282" s="2"/>
      <c r="C282" s="3"/>
      <c r="D282" s="3"/>
      <c r="E282" s="3"/>
      <c r="F282" s="3"/>
      <c r="G282" s="4"/>
      <c r="H282" s="4"/>
      <c r="I282" s="4"/>
      <c r="J282" s="1"/>
    </row>
    <row r="283" spans="1:10" ht="15">
      <c r="A283" s="1"/>
      <c r="B283" s="2"/>
      <c r="C283" s="3"/>
      <c r="D283" s="3"/>
      <c r="E283" s="3"/>
      <c r="F283" s="3"/>
      <c r="G283" s="4"/>
      <c r="H283" s="4"/>
      <c r="I283" s="4"/>
      <c r="J283" s="1"/>
    </row>
    <row r="284" spans="1:10" ht="15">
      <c r="A284" s="1"/>
      <c r="B284" s="2"/>
      <c r="C284" s="3"/>
      <c r="D284" s="3"/>
      <c r="E284" s="3"/>
      <c r="F284" s="3"/>
      <c r="G284" s="4"/>
      <c r="H284" s="4"/>
      <c r="I284" s="4"/>
      <c r="J284" s="1"/>
    </row>
    <row r="285" spans="1:10" ht="15">
      <c r="A285" s="1"/>
      <c r="B285" s="2"/>
      <c r="C285" s="3"/>
      <c r="D285" s="3"/>
      <c r="E285" s="3"/>
      <c r="F285" s="3"/>
      <c r="G285" s="4"/>
      <c r="H285" s="4"/>
      <c r="I285" s="4"/>
      <c r="J285" s="1"/>
    </row>
    <row r="286" spans="1:10" ht="15">
      <c r="A286" s="1"/>
      <c r="B286" s="2"/>
      <c r="C286" s="3"/>
      <c r="D286" s="3"/>
      <c r="E286" s="3"/>
      <c r="F286" s="3"/>
      <c r="G286" s="4"/>
      <c r="H286" s="4"/>
      <c r="I286" s="4"/>
      <c r="J286" s="1"/>
    </row>
    <row r="287" spans="1:10" ht="15">
      <c r="A287" s="1"/>
      <c r="B287" s="2"/>
      <c r="C287" s="3"/>
      <c r="D287" s="3"/>
      <c r="E287" s="3"/>
      <c r="F287" s="3"/>
      <c r="G287" s="4"/>
      <c r="H287" s="4"/>
      <c r="I287" s="4"/>
      <c r="J287" s="1"/>
    </row>
    <row r="288" spans="1:10" ht="15">
      <c r="A288" s="1"/>
      <c r="B288" s="2"/>
      <c r="C288" s="3"/>
      <c r="D288" s="3"/>
      <c r="E288" s="3"/>
      <c r="F288" s="3"/>
      <c r="G288" s="4"/>
      <c r="H288" s="4"/>
      <c r="I288" s="4"/>
      <c r="J288" s="1"/>
    </row>
    <row r="289" spans="1:10" ht="15">
      <c r="A289" s="1"/>
      <c r="B289" s="2"/>
      <c r="C289" s="3"/>
      <c r="D289" s="3"/>
      <c r="E289" s="3"/>
      <c r="F289" s="3"/>
      <c r="G289" s="4"/>
      <c r="H289" s="4"/>
      <c r="I289" s="4"/>
      <c r="J289" s="1"/>
    </row>
    <row r="290" spans="1:10" ht="15">
      <c r="A290" s="1"/>
      <c r="B290" s="2"/>
      <c r="C290" s="3"/>
      <c r="D290" s="3"/>
      <c r="E290" s="3"/>
      <c r="F290" s="3"/>
      <c r="G290" s="4"/>
      <c r="H290" s="4"/>
      <c r="I290" s="4"/>
      <c r="J290" s="1"/>
    </row>
    <row r="291" spans="1:10" ht="15">
      <c r="A291" s="1"/>
      <c r="B291" s="2"/>
      <c r="C291" s="3"/>
      <c r="D291" s="3"/>
      <c r="E291" s="3"/>
      <c r="F291" s="3"/>
      <c r="G291" s="4"/>
      <c r="H291" s="4"/>
      <c r="I291" s="4"/>
      <c r="J291" s="1"/>
    </row>
    <row r="292" spans="1:10" ht="15">
      <c r="A292" s="1"/>
      <c r="B292" s="2"/>
      <c r="C292" s="3"/>
      <c r="D292" s="3"/>
      <c r="E292" s="3"/>
      <c r="F292" s="3"/>
      <c r="G292" s="4"/>
      <c r="H292" s="4"/>
      <c r="I292" s="4"/>
      <c r="J292" s="1"/>
    </row>
    <row r="293" spans="1:10" ht="15">
      <c r="A293" s="1"/>
      <c r="B293" s="2"/>
      <c r="C293" s="3"/>
      <c r="D293" s="3"/>
      <c r="E293" s="3"/>
      <c r="F293" s="3"/>
      <c r="G293" s="4"/>
      <c r="H293" s="4"/>
      <c r="I293" s="4"/>
      <c r="J293" s="1"/>
    </row>
    <row r="294" spans="1:10" ht="15">
      <c r="A294" s="1"/>
      <c r="B294" s="2"/>
      <c r="C294" s="3"/>
      <c r="D294" s="3"/>
      <c r="E294" s="3"/>
      <c r="F294" s="3"/>
      <c r="G294" s="4"/>
      <c r="H294" s="4"/>
      <c r="I294" s="4"/>
      <c r="J294" s="1"/>
    </row>
    <row r="295" spans="1:10" ht="15">
      <c r="A295" s="1"/>
      <c r="B295" s="2"/>
      <c r="C295" s="3"/>
      <c r="D295" s="3"/>
      <c r="E295" s="3"/>
      <c r="F295" s="3"/>
      <c r="G295" s="4"/>
      <c r="H295" s="4"/>
      <c r="I295" s="4"/>
      <c r="J295" s="1"/>
    </row>
    <row r="296" spans="1:10" ht="15">
      <c r="A296" s="1"/>
      <c r="B296" s="2"/>
      <c r="C296" s="3"/>
      <c r="D296" s="3"/>
      <c r="E296" s="3"/>
      <c r="F296" s="3"/>
      <c r="G296" s="4"/>
      <c r="H296" s="4"/>
      <c r="I296" s="4"/>
      <c r="J296" s="1"/>
    </row>
    <row r="297" spans="1:10" ht="15">
      <c r="A297" s="1"/>
      <c r="B297" s="2"/>
      <c r="C297" s="3"/>
      <c r="D297" s="3"/>
      <c r="E297" s="3"/>
      <c r="F297" s="3"/>
      <c r="G297" s="4"/>
      <c r="H297" s="4"/>
      <c r="I297" s="4"/>
      <c r="J297" s="1"/>
    </row>
    <row r="298" spans="1:10" ht="15">
      <c r="A298" s="1"/>
      <c r="B298" s="2"/>
      <c r="C298" s="3"/>
      <c r="D298" s="3"/>
      <c r="E298" s="3"/>
      <c r="F298" s="3"/>
      <c r="G298" s="4"/>
      <c r="H298" s="4"/>
      <c r="I298" s="4"/>
      <c r="J298" s="1"/>
    </row>
    <row r="299" spans="1:10" ht="15">
      <c r="A299" s="1"/>
      <c r="B299" s="2"/>
      <c r="C299" s="3"/>
      <c r="D299" s="3"/>
      <c r="E299" s="3"/>
      <c r="F299" s="3"/>
      <c r="G299" s="4"/>
      <c r="H299" s="4"/>
      <c r="I299" s="4"/>
      <c r="J299" s="1"/>
    </row>
    <row r="300" spans="1:10" ht="15">
      <c r="A300" s="1"/>
      <c r="B300" s="2"/>
      <c r="C300" s="3"/>
      <c r="D300" s="3"/>
      <c r="E300" s="3"/>
      <c r="F300" s="3"/>
      <c r="G300" s="4"/>
      <c r="H300" s="4"/>
      <c r="I300" s="4"/>
      <c r="J300" s="1"/>
    </row>
    <row r="301" spans="1:10" ht="15">
      <c r="A301" s="1"/>
      <c r="B301" s="2"/>
      <c r="C301" s="3"/>
      <c r="D301" s="3"/>
      <c r="E301" s="3"/>
      <c r="F301" s="3"/>
      <c r="G301" s="4"/>
      <c r="H301" s="4"/>
      <c r="I301" s="4"/>
      <c r="J301" s="1"/>
    </row>
    <row r="302" spans="1:10" ht="15">
      <c r="A302" s="1"/>
      <c r="B302" s="2"/>
      <c r="C302" s="3"/>
      <c r="D302" s="3"/>
      <c r="E302" s="3"/>
      <c r="F302" s="3"/>
      <c r="G302" s="4"/>
      <c r="H302" s="4"/>
      <c r="I302" s="4"/>
      <c r="J302" s="1"/>
    </row>
    <row r="303" spans="1:10" ht="15">
      <c r="A303" s="1"/>
      <c r="B303" s="2"/>
      <c r="C303" s="3"/>
      <c r="D303" s="3"/>
      <c r="E303" s="3"/>
      <c r="F303" s="3"/>
      <c r="G303" s="4"/>
      <c r="H303" s="4"/>
      <c r="I303" s="4"/>
      <c r="J303" s="1"/>
    </row>
    <row r="304" spans="1:10" ht="15">
      <c r="A304" s="1"/>
      <c r="B304" s="2"/>
      <c r="C304" s="3"/>
      <c r="D304" s="3"/>
      <c r="E304" s="3"/>
      <c r="F304" s="3"/>
      <c r="G304" s="4"/>
      <c r="H304" s="4"/>
      <c r="I304" s="4"/>
      <c r="J304" s="1"/>
    </row>
    <row r="305" spans="1:10" ht="15">
      <c r="A305" s="1"/>
      <c r="B305" s="2"/>
      <c r="C305" s="3"/>
      <c r="D305" s="3"/>
      <c r="E305" s="3"/>
      <c r="F305" s="3"/>
      <c r="G305" s="4"/>
      <c r="H305" s="4"/>
      <c r="I305" s="4"/>
      <c r="J305" s="1"/>
    </row>
    <row r="306" spans="1:10" ht="15">
      <c r="A306" s="1"/>
      <c r="B306" s="2"/>
      <c r="C306" s="3"/>
      <c r="D306" s="3"/>
      <c r="E306" s="3"/>
      <c r="F306" s="3"/>
      <c r="G306" s="4"/>
      <c r="H306" s="4"/>
      <c r="I306" s="4"/>
      <c r="J306" s="1"/>
    </row>
    <row r="307" spans="1:10" ht="15">
      <c r="A307" s="1"/>
      <c r="B307" s="2"/>
      <c r="C307" s="3"/>
      <c r="D307" s="3"/>
      <c r="E307" s="3"/>
      <c r="F307" s="3"/>
      <c r="G307" s="4"/>
      <c r="H307" s="4"/>
      <c r="I307" s="4"/>
      <c r="J307" s="1"/>
    </row>
    <row r="308" spans="1:10" ht="15">
      <c r="A308" s="1"/>
      <c r="B308" s="2"/>
      <c r="C308" s="3"/>
      <c r="D308" s="3"/>
      <c r="E308" s="3"/>
      <c r="F308" s="3"/>
      <c r="G308" s="4"/>
      <c r="H308" s="4"/>
      <c r="I308" s="4"/>
      <c r="J308" s="1"/>
    </row>
    <row r="309" spans="1:10" ht="15">
      <c r="A309" s="1"/>
      <c r="B309" s="2"/>
      <c r="C309" s="3"/>
      <c r="D309" s="3"/>
      <c r="E309" s="3"/>
      <c r="F309" s="3"/>
      <c r="G309" s="4"/>
      <c r="H309" s="4"/>
      <c r="I309" s="4"/>
      <c r="J309" s="1"/>
    </row>
    <row r="310" spans="1:10" ht="15">
      <c r="A310" s="1"/>
      <c r="B310" s="2"/>
      <c r="C310" s="3"/>
      <c r="D310" s="3"/>
      <c r="E310" s="3"/>
      <c r="F310" s="3"/>
      <c r="G310" s="4"/>
      <c r="H310" s="4"/>
      <c r="I310" s="4"/>
      <c r="J310" s="1"/>
    </row>
    <row r="311" spans="1:10" ht="15">
      <c r="A311" s="1"/>
      <c r="B311" s="2"/>
      <c r="C311" s="3"/>
      <c r="D311" s="3"/>
      <c r="E311" s="3"/>
      <c r="F311" s="3"/>
      <c r="G311" s="4"/>
      <c r="H311" s="4"/>
      <c r="I311" s="4"/>
      <c r="J311" s="1"/>
    </row>
    <row r="312" spans="1:10" ht="15">
      <c r="A312" s="1"/>
      <c r="B312" s="2"/>
      <c r="C312" s="3"/>
      <c r="D312" s="3"/>
      <c r="E312" s="3"/>
      <c r="F312" s="3"/>
      <c r="G312" s="4"/>
      <c r="H312" s="4"/>
      <c r="I312" s="4"/>
      <c r="J312" s="1"/>
    </row>
    <row r="313" spans="1:10" ht="15">
      <c r="A313" s="1"/>
      <c r="B313" s="2"/>
      <c r="C313" s="3"/>
      <c r="D313" s="3"/>
      <c r="E313" s="3"/>
      <c r="F313" s="3"/>
      <c r="G313" s="4"/>
      <c r="H313" s="4"/>
      <c r="I313" s="4"/>
      <c r="J313" s="1"/>
    </row>
    <row r="314" spans="1:10" ht="15">
      <c r="A314" s="1"/>
      <c r="B314" s="2"/>
      <c r="C314" s="3"/>
      <c r="D314" s="3"/>
      <c r="E314" s="3"/>
      <c r="F314" s="3"/>
      <c r="G314" s="4"/>
      <c r="H314" s="4"/>
      <c r="I314" s="4"/>
      <c r="J314" s="1"/>
    </row>
    <row r="315" spans="1:10" ht="15">
      <c r="A315" s="1"/>
      <c r="B315" s="2"/>
      <c r="C315" s="3"/>
      <c r="D315" s="3"/>
      <c r="E315" s="3"/>
      <c r="F315" s="3"/>
      <c r="G315" s="4"/>
      <c r="H315" s="4"/>
      <c r="I315" s="4"/>
      <c r="J315" s="1"/>
    </row>
    <row r="316" spans="1:10" ht="15">
      <c r="A316" s="1"/>
      <c r="B316" s="2"/>
      <c r="C316" s="3"/>
      <c r="D316" s="3"/>
      <c r="E316" s="3"/>
      <c r="F316" s="3"/>
      <c r="G316" s="4"/>
      <c r="H316" s="4"/>
      <c r="I316" s="4"/>
      <c r="J316" s="1"/>
    </row>
    <row r="317" spans="1:10" ht="15">
      <c r="A317" s="1"/>
      <c r="B317" s="2"/>
      <c r="C317" s="3"/>
      <c r="D317" s="3"/>
      <c r="E317" s="3"/>
      <c r="F317" s="3"/>
      <c r="G317" s="4"/>
      <c r="H317" s="4"/>
      <c r="I317" s="4"/>
      <c r="J317" s="1"/>
    </row>
    <row r="318" spans="1:10" ht="15">
      <c r="A318" s="1"/>
      <c r="B318" s="2"/>
      <c r="C318" s="3"/>
      <c r="D318" s="3"/>
      <c r="E318" s="3"/>
      <c r="F318" s="3"/>
      <c r="G318" s="4"/>
      <c r="H318" s="4"/>
      <c r="I318" s="4"/>
      <c r="J318" s="1"/>
    </row>
    <row r="319" spans="1:10" ht="15">
      <c r="A319" s="1"/>
      <c r="B319" s="2"/>
      <c r="C319" s="3"/>
      <c r="D319" s="3"/>
      <c r="E319" s="3"/>
      <c r="F319" s="3"/>
      <c r="G319" s="4"/>
      <c r="H319" s="4"/>
      <c r="I319" s="4"/>
      <c r="J319" s="1"/>
    </row>
    <row r="320" spans="1:10" ht="15">
      <c r="A320" s="1"/>
      <c r="B320" s="2"/>
      <c r="C320" s="3"/>
      <c r="D320" s="3"/>
      <c r="E320" s="3"/>
      <c r="F320" s="3"/>
      <c r="G320" s="4"/>
      <c r="H320" s="4"/>
      <c r="I320" s="4"/>
      <c r="J320" s="1"/>
    </row>
    <row r="321" spans="1:10" ht="15">
      <c r="A321" s="1"/>
      <c r="B321" s="2"/>
      <c r="C321" s="3"/>
      <c r="D321" s="3"/>
      <c r="E321" s="3"/>
      <c r="F321" s="3"/>
      <c r="G321" s="4"/>
      <c r="H321" s="4"/>
      <c r="I321" s="4"/>
      <c r="J321" s="1"/>
    </row>
    <row r="322" spans="1:10" ht="15">
      <c r="A322" s="1"/>
      <c r="B322" s="2"/>
      <c r="C322" s="3"/>
      <c r="D322" s="3"/>
      <c r="E322" s="3"/>
      <c r="F322" s="3"/>
      <c r="G322" s="4"/>
      <c r="H322" s="4"/>
      <c r="I322" s="4"/>
      <c r="J322" s="1"/>
    </row>
    <row r="323" spans="1:10" ht="15">
      <c r="A323" s="1"/>
      <c r="B323" s="2"/>
      <c r="C323" s="3"/>
      <c r="D323" s="3"/>
      <c r="E323" s="3"/>
      <c r="F323" s="3"/>
      <c r="G323" s="4"/>
      <c r="H323" s="4"/>
      <c r="I323" s="4"/>
      <c r="J323" s="1"/>
    </row>
    <row r="324" spans="1:10" ht="15">
      <c r="A324" s="1"/>
      <c r="B324" s="2"/>
      <c r="C324" s="3"/>
      <c r="D324" s="3"/>
      <c r="E324" s="3"/>
      <c r="F324" s="3"/>
      <c r="G324" s="4"/>
      <c r="H324" s="4"/>
      <c r="I324" s="4"/>
      <c r="J324" s="1"/>
    </row>
    <row r="325" spans="1:10" ht="15">
      <c r="A325" s="1"/>
      <c r="B325" s="2"/>
      <c r="C325" s="3"/>
      <c r="D325" s="3"/>
      <c r="E325" s="3"/>
      <c r="F325" s="3"/>
      <c r="G325" s="4"/>
      <c r="H325" s="4"/>
      <c r="I325" s="4"/>
      <c r="J325" s="1"/>
    </row>
    <row r="326" spans="1:10" ht="15">
      <c r="A326" s="1"/>
      <c r="B326" s="2"/>
      <c r="C326" s="3"/>
      <c r="D326" s="3"/>
      <c r="E326" s="3"/>
      <c r="F326" s="3"/>
      <c r="G326" s="4"/>
      <c r="H326" s="4"/>
      <c r="I326" s="4"/>
      <c r="J326" s="1"/>
    </row>
    <row r="327" spans="1:10" ht="15">
      <c r="A327" s="1"/>
      <c r="B327" s="2"/>
      <c r="C327" s="3"/>
      <c r="D327" s="3"/>
      <c r="E327" s="3"/>
      <c r="F327" s="3"/>
      <c r="G327" s="4"/>
      <c r="H327" s="4"/>
      <c r="I327" s="4"/>
      <c r="J327" s="1"/>
    </row>
    <row r="328" spans="1:10" ht="15">
      <c r="A328" s="1"/>
      <c r="B328" s="2"/>
      <c r="C328" s="3"/>
      <c r="D328" s="3"/>
      <c r="E328" s="3"/>
      <c r="F328" s="3"/>
      <c r="G328" s="4"/>
      <c r="H328" s="4"/>
      <c r="I328" s="4"/>
      <c r="J328" s="1"/>
    </row>
    <row r="329" spans="1:10" ht="15">
      <c r="A329" s="1"/>
      <c r="B329" s="2"/>
      <c r="C329" s="3"/>
      <c r="D329" s="3"/>
      <c r="E329" s="3"/>
      <c r="F329" s="3"/>
      <c r="G329" s="4"/>
      <c r="H329" s="4"/>
      <c r="I329" s="4"/>
      <c r="J329" s="1"/>
    </row>
    <row r="330" spans="1:10" ht="15">
      <c r="A330" s="1"/>
      <c r="B330" s="2"/>
      <c r="C330" s="3"/>
      <c r="D330" s="3"/>
      <c r="E330" s="3"/>
      <c r="F330" s="3"/>
      <c r="G330" s="4"/>
      <c r="H330" s="4"/>
      <c r="I330" s="4"/>
      <c r="J330" s="1"/>
    </row>
    <row r="331" spans="1:10" ht="15">
      <c r="A331" s="1"/>
      <c r="B331" s="2"/>
      <c r="C331" s="3"/>
      <c r="D331" s="3"/>
      <c r="E331" s="3"/>
      <c r="F331" s="3"/>
      <c r="G331" s="4"/>
      <c r="H331" s="4"/>
      <c r="I331" s="4"/>
      <c r="J331" s="1"/>
    </row>
    <row r="332" spans="1:10" ht="15">
      <c r="A332" s="1"/>
      <c r="B332" s="2"/>
      <c r="C332" s="3"/>
      <c r="D332" s="3"/>
      <c r="E332" s="3"/>
      <c r="F332" s="3"/>
      <c r="G332" s="4"/>
      <c r="H332" s="4"/>
      <c r="I332" s="4"/>
      <c r="J332" s="1"/>
    </row>
    <row r="333" spans="1:10" ht="15">
      <c r="A333" s="1"/>
      <c r="B333" s="2"/>
      <c r="C333" s="3"/>
      <c r="D333" s="3"/>
      <c r="E333" s="3"/>
      <c r="F333" s="3"/>
      <c r="G333" s="4"/>
      <c r="H333" s="4"/>
      <c r="I333" s="4"/>
      <c r="J333" s="1"/>
    </row>
    <row r="334" spans="1:10" ht="15">
      <c r="A334" s="1"/>
      <c r="B334" s="2"/>
      <c r="C334" s="3"/>
      <c r="D334" s="3"/>
      <c r="E334" s="3"/>
      <c r="F334" s="3"/>
      <c r="G334" s="4"/>
      <c r="H334" s="4"/>
      <c r="I334" s="4"/>
      <c r="J334" s="1"/>
    </row>
    <row r="335" spans="1:10" ht="15">
      <c r="A335" s="1"/>
      <c r="B335" s="2"/>
      <c r="C335" s="3"/>
      <c r="D335" s="3"/>
      <c r="E335" s="3"/>
      <c r="F335" s="3"/>
      <c r="G335" s="4"/>
      <c r="H335" s="4"/>
      <c r="I335" s="4"/>
      <c r="J335" s="1"/>
    </row>
    <row r="336" spans="1:10" ht="15">
      <c r="A336" s="1"/>
      <c r="B336" s="2"/>
      <c r="C336" s="3"/>
      <c r="D336" s="3"/>
      <c r="E336" s="3"/>
      <c r="F336" s="3"/>
      <c r="G336" s="4"/>
      <c r="H336" s="4"/>
      <c r="I336" s="4"/>
      <c r="J336" s="1"/>
    </row>
    <row r="337" spans="1:10" ht="15">
      <c r="A337" s="1"/>
      <c r="B337" s="2"/>
      <c r="C337" s="3"/>
      <c r="D337" s="3"/>
      <c r="E337" s="3"/>
      <c r="F337" s="3"/>
      <c r="G337" s="4"/>
      <c r="H337" s="4"/>
      <c r="I337" s="4"/>
      <c r="J337" s="1"/>
    </row>
    <row r="338" spans="1:10" ht="15">
      <c r="A338" s="1"/>
      <c r="B338" s="2"/>
      <c r="C338" s="3"/>
      <c r="D338" s="3"/>
      <c r="E338" s="3"/>
      <c r="F338" s="3"/>
      <c r="G338" s="4"/>
      <c r="H338" s="4"/>
      <c r="I338" s="4"/>
      <c r="J338" s="1"/>
    </row>
    <row r="339" spans="1:10" ht="15">
      <c r="A339" s="1"/>
      <c r="B339" s="2"/>
      <c r="C339" s="3"/>
      <c r="D339" s="3"/>
      <c r="E339" s="3"/>
      <c r="F339" s="3"/>
      <c r="G339" s="4"/>
      <c r="H339" s="4"/>
      <c r="I339" s="4"/>
      <c r="J339" s="1"/>
    </row>
    <row r="340" spans="1:10" ht="15">
      <c r="A340" s="1"/>
      <c r="B340" s="2"/>
      <c r="C340" s="3"/>
      <c r="D340" s="3"/>
      <c r="E340" s="3"/>
      <c r="F340" s="3"/>
      <c r="G340" s="4"/>
      <c r="H340" s="4"/>
      <c r="I340" s="4"/>
      <c r="J340" s="1"/>
    </row>
    <row r="341" spans="1:10" ht="15">
      <c r="A341" s="1"/>
      <c r="B341" s="2"/>
      <c r="C341" s="3"/>
      <c r="D341" s="3"/>
      <c r="E341" s="3"/>
      <c r="F341" s="3"/>
      <c r="G341" s="4"/>
      <c r="H341" s="4"/>
      <c r="I341" s="4"/>
      <c r="J341" s="1"/>
    </row>
    <row r="342" spans="1:10" ht="15">
      <c r="A342" s="1"/>
      <c r="B342" s="2"/>
      <c r="C342" s="3"/>
      <c r="D342" s="3"/>
      <c r="E342" s="3"/>
      <c r="F342" s="3"/>
      <c r="G342" s="4"/>
      <c r="H342" s="4"/>
      <c r="I342" s="4"/>
      <c r="J342" s="1"/>
    </row>
    <row r="343" spans="1:10" ht="15">
      <c r="A343" s="1"/>
      <c r="B343" s="2"/>
      <c r="C343" s="3"/>
      <c r="D343" s="3"/>
      <c r="E343" s="3"/>
      <c r="F343" s="3"/>
      <c r="G343" s="4"/>
      <c r="H343" s="4"/>
      <c r="I343" s="4"/>
      <c r="J343" s="1"/>
    </row>
    <row r="344" spans="1:10" ht="15">
      <c r="A344" s="1"/>
      <c r="B344" s="2"/>
      <c r="C344" s="3"/>
      <c r="D344" s="3"/>
      <c r="E344" s="3"/>
      <c r="F344" s="3"/>
      <c r="G344" s="4"/>
      <c r="H344" s="4"/>
      <c r="I344" s="4"/>
      <c r="J344" s="1"/>
    </row>
    <row r="345" spans="1:10" ht="15">
      <c r="A345" s="1"/>
      <c r="B345" s="2"/>
      <c r="C345" s="3"/>
      <c r="D345" s="3"/>
      <c r="E345" s="3"/>
      <c r="F345" s="3"/>
      <c r="G345" s="4"/>
      <c r="H345" s="4"/>
      <c r="I345" s="4"/>
      <c r="J345" s="1"/>
    </row>
    <row r="346" spans="1:10" ht="15">
      <c r="A346" s="1"/>
      <c r="B346" s="2"/>
      <c r="C346" s="3"/>
      <c r="D346" s="3"/>
      <c r="E346" s="3"/>
      <c r="F346" s="3"/>
      <c r="G346" s="4"/>
      <c r="H346" s="4"/>
      <c r="I346" s="4"/>
      <c r="J346" s="1"/>
    </row>
    <row r="347" spans="1:10" ht="15">
      <c r="A347" s="1"/>
      <c r="B347" s="2"/>
      <c r="C347" s="3"/>
      <c r="D347" s="3"/>
      <c r="E347" s="3"/>
      <c r="F347" s="3"/>
      <c r="G347" s="4"/>
      <c r="H347" s="4"/>
      <c r="I347" s="4"/>
      <c r="J347" s="1"/>
    </row>
    <row r="348" spans="1:10" ht="15">
      <c r="A348" s="1"/>
      <c r="B348" s="2"/>
      <c r="C348" s="3"/>
      <c r="D348" s="3"/>
      <c r="E348" s="3"/>
      <c r="F348" s="3"/>
      <c r="G348" s="4"/>
      <c r="H348" s="4"/>
      <c r="I348" s="4"/>
      <c r="J348" s="1"/>
    </row>
    <row r="349" spans="1:10" ht="15">
      <c r="A349" s="1"/>
      <c r="B349" s="2"/>
      <c r="C349" s="3"/>
      <c r="D349" s="3"/>
      <c r="E349" s="3"/>
      <c r="F349" s="3"/>
      <c r="G349" s="4"/>
      <c r="H349" s="4"/>
      <c r="I349" s="4"/>
      <c r="J349" s="1"/>
    </row>
    <row r="350" spans="1:10" ht="15">
      <c r="A350" s="1"/>
      <c r="B350" s="2"/>
      <c r="C350" s="3"/>
      <c r="D350" s="3"/>
      <c r="E350" s="3"/>
      <c r="F350" s="3"/>
      <c r="G350" s="4"/>
      <c r="H350" s="4"/>
      <c r="I350" s="4"/>
      <c r="J350" s="1"/>
    </row>
    <row r="351" spans="1:10" ht="15">
      <c r="A351" s="1"/>
      <c r="B351" s="2"/>
      <c r="C351" s="3"/>
      <c r="D351" s="3"/>
      <c r="E351" s="3"/>
      <c r="F351" s="3"/>
      <c r="G351" s="4"/>
      <c r="H351" s="4"/>
      <c r="I351" s="4"/>
      <c r="J351" s="1"/>
    </row>
    <row r="352" spans="1:10" ht="15">
      <c r="A352" s="1"/>
      <c r="B352" s="2"/>
      <c r="C352" s="3"/>
      <c r="D352" s="3"/>
      <c r="E352" s="3"/>
      <c r="F352" s="3"/>
      <c r="G352" s="4"/>
      <c r="H352" s="4"/>
      <c r="I352" s="4"/>
      <c r="J352" s="1"/>
    </row>
    <row r="353" spans="1:10" ht="15">
      <c r="A353" s="1"/>
      <c r="B353" s="2"/>
      <c r="C353" s="3"/>
      <c r="D353" s="3"/>
      <c r="E353" s="3"/>
      <c r="F353" s="3"/>
      <c r="G353" s="4"/>
      <c r="H353" s="4"/>
      <c r="I353" s="4"/>
      <c r="J353" s="1"/>
    </row>
    <row r="354" spans="1:10" ht="15">
      <c r="A354" s="1"/>
      <c r="B354" s="2"/>
      <c r="C354" s="3"/>
      <c r="D354" s="3"/>
      <c r="E354" s="3"/>
      <c r="F354" s="3"/>
      <c r="G354" s="4"/>
      <c r="H354" s="4"/>
      <c r="I354" s="4"/>
      <c r="J354" s="1"/>
    </row>
    <row r="355" spans="1:10" ht="15">
      <c r="A355" s="1"/>
      <c r="B355" s="2"/>
      <c r="C355" s="3"/>
      <c r="D355" s="3"/>
      <c r="E355" s="3"/>
      <c r="F355" s="3"/>
      <c r="G355" s="4"/>
      <c r="H355" s="4"/>
      <c r="I355" s="4"/>
      <c r="J355" s="1"/>
    </row>
    <row r="356" spans="1:10" ht="15">
      <c r="A356" s="1"/>
      <c r="B356" s="2"/>
      <c r="C356" s="3"/>
      <c r="D356" s="3"/>
      <c r="E356" s="3"/>
      <c r="F356" s="3"/>
      <c r="G356" s="4"/>
      <c r="H356" s="4"/>
      <c r="I356" s="4"/>
      <c r="J356" s="1"/>
    </row>
    <row r="357" spans="1:10" ht="15">
      <c r="A357" s="1"/>
      <c r="B357" s="2"/>
      <c r="C357" s="3"/>
      <c r="D357" s="3"/>
      <c r="E357" s="3"/>
      <c r="F357" s="3"/>
      <c r="G357" s="4"/>
      <c r="H357" s="4"/>
      <c r="I357" s="4"/>
      <c r="J357" s="1"/>
    </row>
    <row r="358" spans="1:10" ht="15">
      <c r="A358" s="1"/>
      <c r="B358" s="2"/>
      <c r="C358" s="3"/>
      <c r="D358" s="3"/>
      <c r="E358" s="3"/>
      <c r="F358" s="3"/>
      <c r="G358" s="4"/>
      <c r="H358" s="4"/>
      <c r="I358" s="4"/>
      <c r="J358" s="1"/>
    </row>
    <row r="359" spans="1:10" ht="15">
      <c r="A359" s="1"/>
      <c r="B359" s="2"/>
      <c r="C359" s="3"/>
      <c r="D359" s="3"/>
      <c r="E359" s="3"/>
      <c r="F359" s="3"/>
      <c r="G359" s="4"/>
      <c r="H359" s="4"/>
      <c r="I359" s="4"/>
      <c r="J359" s="1"/>
    </row>
    <row r="360" spans="1:10" ht="15">
      <c r="A360" s="1"/>
      <c r="B360" s="2"/>
      <c r="C360" s="3"/>
      <c r="D360" s="3"/>
      <c r="E360" s="3"/>
      <c r="F360" s="3"/>
      <c r="G360" s="4"/>
      <c r="H360" s="4"/>
      <c r="I360" s="4"/>
      <c r="J360" s="1"/>
    </row>
    <row r="361" spans="1:10" ht="15">
      <c r="A361" s="1"/>
      <c r="B361" s="2"/>
      <c r="C361" s="3"/>
      <c r="D361" s="3"/>
      <c r="E361" s="3"/>
      <c r="F361" s="3"/>
      <c r="G361" s="4"/>
      <c r="H361" s="4"/>
      <c r="I361" s="4"/>
      <c r="J361" s="1"/>
    </row>
    <row r="362" spans="1:10" ht="15">
      <c r="A362" s="1"/>
      <c r="B362" s="2"/>
      <c r="C362" s="3"/>
      <c r="D362" s="3"/>
      <c r="E362" s="3"/>
      <c r="F362" s="3"/>
      <c r="G362" s="4"/>
      <c r="H362" s="4"/>
      <c r="I362" s="4"/>
      <c r="J362" s="1"/>
    </row>
    <row r="363" spans="1:10" ht="15">
      <c r="A363" s="1"/>
      <c r="B363" s="2"/>
      <c r="C363" s="3"/>
      <c r="D363" s="3"/>
      <c r="E363" s="3"/>
      <c r="F363" s="3"/>
      <c r="G363" s="4"/>
      <c r="H363" s="4"/>
      <c r="I363" s="4"/>
      <c r="J363" s="1"/>
    </row>
    <row r="364" spans="1:10" ht="15">
      <c r="A364" s="1"/>
      <c r="B364" s="2"/>
      <c r="C364" s="3"/>
      <c r="D364" s="3"/>
      <c r="E364" s="3"/>
      <c r="F364" s="3"/>
      <c r="G364" s="4"/>
      <c r="H364" s="4"/>
      <c r="I364" s="4"/>
      <c r="J364" s="1"/>
    </row>
    <row r="365" spans="1:10" ht="15">
      <c r="A365" s="1"/>
      <c r="B365" s="2"/>
      <c r="C365" s="3"/>
      <c r="D365" s="3"/>
      <c r="E365" s="3"/>
      <c r="F365" s="3"/>
      <c r="G365" s="4"/>
      <c r="H365" s="4"/>
      <c r="I365" s="4"/>
      <c r="J365" s="1"/>
    </row>
    <row r="366" spans="1:10" ht="15">
      <c r="A366" s="1"/>
      <c r="B366" s="2"/>
      <c r="C366" s="3"/>
      <c r="D366" s="3"/>
      <c r="E366" s="3"/>
      <c r="F366" s="3"/>
      <c r="G366" s="4"/>
      <c r="H366" s="4"/>
      <c r="I366" s="4"/>
      <c r="J366" s="1"/>
    </row>
    <row r="367" spans="1:10" ht="15">
      <c r="A367" s="1"/>
      <c r="B367" s="2"/>
      <c r="C367" s="3"/>
      <c r="D367" s="3"/>
      <c r="E367" s="3"/>
      <c r="F367" s="3"/>
      <c r="G367" s="4"/>
      <c r="H367" s="4"/>
      <c r="I367" s="4"/>
      <c r="J367" s="1"/>
    </row>
    <row r="368" spans="1:10" ht="15">
      <c r="A368" s="1"/>
      <c r="B368" s="2"/>
      <c r="C368" s="3"/>
      <c r="D368" s="3"/>
      <c r="E368" s="3"/>
      <c r="F368" s="3"/>
      <c r="G368" s="4"/>
      <c r="H368" s="4"/>
      <c r="I368" s="4"/>
      <c r="J368" s="1"/>
    </row>
    <row r="369" spans="1:10" ht="15">
      <c r="A369" s="1"/>
      <c r="B369" s="2"/>
      <c r="C369" s="3"/>
      <c r="D369" s="3"/>
      <c r="E369" s="3"/>
      <c r="F369" s="3"/>
      <c r="G369" s="4"/>
      <c r="H369" s="4"/>
      <c r="I369" s="4"/>
      <c r="J369" s="1"/>
    </row>
    <row r="370" spans="1:10" ht="15">
      <c r="A370" s="1"/>
      <c r="B370" s="2"/>
      <c r="C370" s="3"/>
      <c r="D370" s="3"/>
      <c r="E370" s="3"/>
      <c r="F370" s="3"/>
      <c r="G370" s="4"/>
      <c r="H370" s="4"/>
      <c r="I370" s="4"/>
      <c r="J370" s="1"/>
    </row>
    <row r="371" spans="1:10" ht="15">
      <c r="A371" s="1"/>
      <c r="B371" s="2"/>
      <c r="C371" s="3"/>
      <c r="D371" s="3"/>
      <c r="E371" s="3"/>
      <c r="F371" s="3"/>
      <c r="G371" s="4"/>
      <c r="H371" s="4"/>
      <c r="I371" s="4"/>
      <c r="J371" s="1"/>
    </row>
    <row r="372" spans="1:10" ht="15">
      <c r="A372" s="1"/>
      <c r="B372" s="2"/>
      <c r="C372" s="3"/>
      <c r="D372" s="3"/>
      <c r="E372" s="3"/>
      <c r="F372" s="3"/>
      <c r="G372" s="4"/>
      <c r="H372" s="4"/>
      <c r="I372" s="4"/>
      <c r="J372" s="1"/>
    </row>
    <row r="373" spans="1:10" ht="15">
      <c r="A373" s="1"/>
      <c r="B373" s="2"/>
      <c r="C373" s="3"/>
      <c r="D373" s="3"/>
      <c r="E373" s="3"/>
      <c r="F373" s="3"/>
      <c r="G373" s="4"/>
      <c r="H373" s="4"/>
      <c r="I373" s="4"/>
      <c r="J373" s="1"/>
    </row>
    <row r="374" spans="1:10" ht="15">
      <c r="A374" s="1"/>
      <c r="B374" s="2"/>
      <c r="C374" s="3"/>
      <c r="D374" s="3"/>
      <c r="E374" s="3"/>
      <c r="F374" s="3"/>
      <c r="G374" s="4"/>
      <c r="H374" s="4"/>
      <c r="I374" s="4"/>
      <c r="J374" s="1"/>
    </row>
    <row r="375" spans="1:10" ht="15">
      <c r="A375" s="1"/>
      <c r="B375" s="2"/>
      <c r="C375" s="3"/>
      <c r="D375" s="3"/>
      <c r="E375" s="3"/>
      <c r="F375" s="3"/>
      <c r="G375" s="4"/>
      <c r="H375" s="4"/>
      <c r="I375" s="4"/>
      <c r="J375" s="1"/>
    </row>
    <row r="376" spans="1:10" ht="15">
      <c r="A376" s="1"/>
      <c r="B376" s="2"/>
      <c r="C376" s="3"/>
      <c r="D376" s="3"/>
      <c r="E376" s="3"/>
      <c r="F376" s="3"/>
      <c r="G376" s="4"/>
      <c r="H376" s="4"/>
      <c r="I376" s="4"/>
      <c r="J376" s="1"/>
    </row>
    <row r="377" spans="1:10" ht="15">
      <c r="A377" s="1"/>
      <c r="B377" s="2"/>
      <c r="C377" s="3"/>
      <c r="D377" s="3"/>
      <c r="E377" s="3"/>
      <c r="F377" s="3"/>
      <c r="G377" s="4"/>
      <c r="H377" s="4"/>
      <c r="I377" s="4"/>
      <c r="J377" s="1"/>
    </row>
    <row r="378" spans="1:10" ht="15">
      <c r="A378" s="1"/>
      <c r="B378" s="2"/>
      <c r="C378" s="3"/>
      <c r="D378" s="3"/>
      <c r="E378" s="3"/>
      <c r="F378" s="3"/>
      <c r="G378" s="4"/>
      <c r="H378" s="4"/>
      <c r="I378" s="4"/>
      <c r="J378" s="1"/>
    </row>
    <row r="379" spans="1:10" ht="15">
      <c r="A379" s="1"/>
      <c r="B379" s="2"/>
      <c r="C379" s="3"/>
      <c r="D379" s="3"/>
      <c r="E379" s="3"/>
      <c r="F379" s="3"/>
      <c r="G379" s="4"/>
      <c r="H379" s="4"/>
      <c r="I379" s="4"/>
      <c r="J379" s="1"/>
    </row>
    <row r="380" spans="1:10" ht="15">
      <c r="A380" s="1"/>
      <c r="B380" s="2"/>
      <c r="C380" s="3"/>
      <c r="D380" s="3"/>
      <c r="E380" s="3"/>
      <c r="F380" s="3"/>
      <c r="G380" s="4"/>
      <c r="H380" s="4"/>
      <c r="I380" s="4"/>
      <c r="J380" s="1"/>
    </row>
    <row r="381" spans="1:10" ht="15">
      <c r="A381" s="1"/>
      <c r="B381" s="2"/>
      <c r="C381" s="3"/>
      <c r="D381" s="3"/>
      <c r="E381" s="3"/>
      <c r="F381" s="3"/>
      <c r="G381" s="4"/>
      <c r="H381" s="4"/>
      <c r="I381" s="4"/>
      <c r="J381" s="1"/>
    </row>
    <row r="382" spans="1:10" ht="15">
      <c r="A382" s="1"/>
      <c r="B382" s="2"/>
      <c r="C382" s="3"/>
      <c r="D382" s="3"/>
      <c r="E382" s="3"/>
      <c r="F382" s="3"/>
      <c r="G382" s="4"/>
      <c r="H382" s="4"/>
      <c r="I382" s="4"/>
      <c r="J382" s="1"/>
    </row>
    <row r="383" spans="1:10" ht="15">
      <c r="A383" s="1"/>
      <c r="B383" s="2"/>
      <c r="C383" s="3"/>
      <c r="D383" s="3"/>
      <c r="E383" s="3"/>
      <c r="F383" s="3"/>
      <c r="G383" s="4"/>
      <c r="H383" s="4"/>
      <c r="I383" s="4"/>
      <c r="J383" s="1"/>
    </row>
    <row r="384" spans="1:10" ht="15">
      <c r="A384" s="1"/>
      <c r="B384" s="2"/>
      <c r="C384" s="3"/>
      <c r="D384" s="3"/>
      <c r="E384" s="3"/>
      <c r="F384" s="3"/>
      <c r="G384" s="4"/>
      <c r="H384" s="4"/>
      <c r="I384" s="4"/>
      <c r="J384" s="1"/>
    </row>
    <row r="385" spans="1:10" ht="15">
      <c r="A385" s="1"/>
      <c r="B385" s="2"/>
      <c r="C385" s="3"/>
      <c r="D385" s="3"/>
      <c r="E385" s="3"/>
      <c r="F385" s="3"/>
      <c r="G385" s="4"/>
      <c r="H385" s="4"/>
      <c r="I385" s="4"/>
      <c r="J385" s="1"/>
    </row>
    <row r="386" spans="1:10" ht="15">
      <c r="A386" s="1"/>
      <c r="B386" s="2"/>
      <c r="C386" s="3"/>
      <c r="D386" s="3"/>
      <c r="E386" s="3"/>
      <c r="F386" s="3"/>
      <c r="G386" s="4"/>
      <c r="H386" s="4"/>
      <c r="I386" s="4"/>
      <c r="J386" s="1"/>
    </row>
    <row r="387" spans="1:10" ht="15">
      <c r="A387" s="1"/>
      <c r="B387" s="2"/>
      <c r="C387" s="3"/>
      <c r="D387" s="3"/>
      <c r="E387" s="3"/>
      <c r="F387" s="3"/>
      <c r="G387" s="4"/>
      <c r="H387" s="4"/>
      <c r="I387" s="4"/>
      <c r="J387" s="1"/>
    </row>
    <row r="388" spans="1:10" ht="15">
      <c r="A388" s="1"/>
      <c r="B388" s="2"/>
      <c r="C388" s="3"/>
      <c r="D388" s="3"/>
      <c r="E388" s="3"/>
      <c r="F388" s="3"/>
      <c r="G388" s="4"/>
      <c r="H388" s="4"/>
      <c r="I388" s="4"/>
      <c r="J388" s="1"/>
    </row>
    <row r="389" spans="1:10" ht="15">
      <c r="A389" s="1"/>
      <c r="B389" s="2"/>
      <c r="C389" s="3"/>
      <c r="D389" s="3"/>
      <c r="E389" s="3"/>
      <c r="F389" s="3"/>
      <c r="G389" s="4"/>
      <c r="H389" s="4"/>
      <c r="I389" s="4"/>
      <c r="J389" s="1"/>
    </row>
    <row r="390" spans="1:10" ht="15">
      <c r="A390" s="1"/>
      <c r="B390" s="2"/>
      <c r="C390" s="3"/>
      <c r="D390" s="3"/>
      <c r="E390" s="3"/>
      <c r="F390" s="3"/>
      <c r="G390" s="4"/>
      <c r="H390" s="4"/>
      <c r="I390" s="4"/>
      <c r="J390" s="1"/>
    </row>
    <row r="391" spans="1:10" ht="15">
      <c r="A391" s="1"/>
      <c r="B391" s="2"/>
      <c r="C391" s="3"/>
      <c r="D391" s="3"/>
      <c r="E391" s="3"/>
      <c r="F391" s="3"/>
      <c r="G391" s="4"/>
      <c r="H391" s="4"/>
      <c r="I391" s="4"/>
      <c r="J391" s="1"/>
    </row>
    <row r="392" spans="1:10" ht="15">
      <c r="A392" s="1"/>
      <c r="B392" s="2"/>
      <c r="C392" s="3"/>
      <c r="D392" s="3"/>
      <c r="E392" s="3"/>
      <c r="F392" s="3"/>
      <c r="G392" s="4"/>
      <c r="H392" s="4"/>
      <c r="I392" s="4"/>
      <c r="J392" s="1"/>
    </row>
    <row r="393" spans="1:10" ht="15">
      <c r="A393" s="1"/>
      <c r="B393" s="2"/>
      <c r="C393" s="3"/>
      <c r="D393" s="3"/>
      <c r="E393" s="3"/>
      <c r="F393" s="3"/>
      <c r="G393" s="4"/>
      <c r="H393" s="4"/>
      <c r="I393" s="4"/>
      <c r="J393" s="1"/>
    </row>
    <row r="394" spans="1:10" ht="15">
      <c r="A394" s="1"/>
      <c r="B394" s="2"/>
      <c r="C394" s="3"/>
      <c r="D394" s="3"/>
      <c r="E394" s="3"/>
      <c r="F394" s="3"/>
      <c r="G394" s="4"/>
      <c r="H394" s="4"/>
      <c r="I394" s="4"/>
      <c r="J394" s="1"/>
    </row>
    <row r="395" spans="1:10" ht="15">
      <c r="A395" s="1"/>
      <c r="B395" s="2"/>
      <c r="C395" s="3"/>
      <c r="D395" s="3"/>
      <c r="E395" s="3"/>
      <c r="F395" s="3"/>
      <c r="G395" s="4"/>
      <c r="H395" s="4"/>
      <c r="I395" s="4"/>
      <c r="J395" s="1"/>
    </row>
    <row r="396" spans="1:10" ht="15">
      <c r="A396" s="1"/>
      <c r="B396" s="2"/>
      <c r="C396" s="3"/>
      <c r="D396" s="3"/>
      <c r="E396" s="3"/>
      <c r="F396" s="3"/>
      <c r="G396" s="4"/>
      <c r="H396" s="4"/>
      <c r="I396" s="4"/>
      <c r="J396" s="1"/>
    </row>
    <row r="397" spans="1:10" ht="15">
      <c r="A397" s="1"/>
      <c r="B397" s="2"/>
      <c r="C397" s="3"/>
      <c r="D397" s="3"/>
      <c r="E397" s="3"/>
      <c r="F397" s="3"/>
      <c r="G397" s="4"/>
      <c r="H397" s="4"/>
      <c r="I397" s="4"/>
      <c r="J397" s="1"/>
    </row>
    <row r="398" spans="1:10" ht="15">
      <c r="A398" s="1"/>
      <c r="B398" s="2"/>
      <c r="C398" s="3"/>
      <c r="D398" s="3"/>
      <c r="E398" s="3"/>
      <c r="F398" s="3"/>
      <c r="G398" s="4"/>
      <c r="H398" s="4"/>
      <c r="I398" s="4"/>
      <c r="J398" s="1"/>
    </row>
    <row r="399" spans="1:10" ht="15">
      <c r="A399" s="1"/>
      <c r="B399" s="2"/>
      <c r="C399" s="3"/>
      <c r="D399" s="3"/>
      <c r="E399" s="3"/>
      <c r="F399" s="3"/>
      <c r="G399" s="4"/>
      <c r="H399" s="4"/>
      <c r="I399" s="4"/>
      <c r="J399" s="1"/>
    </row>
    <row r="400" spans="1:10" ht="15">
      <c r="A400" s="1"/>
      <c r="B400" s="2"/>
      <c r="C400" s="3"/>
      <c r="D400" s="3"/>
      <c r="E400" s="3"/>
      <c r="F400" s="3"/>
      <c r="G400" s="4"/>
      <c r="H400" s="4"/>
      <c r="I400" s="4"/>
      <c r="J400" s="1"/>
    </row>
    <row r="401" spans="1:10" ht="15">
      <c r="A401" s="1"/>
      <c r="B401" s="2"/>
      <c r="C401" s="3"/>
      <c r="D401" s="3"/>
      <c r="E401" s="3"/>
      <c r="F401" s="3"/>
      <c r="G401" s="4"/>
      <c r="H401" s="4"/>
      <c r="I401" s="4"/>
      <c r="J401" s="1"/>
    </row>
    <row r="402" spans="1:10" ht="15">
      <c r="A402" s="1"/>
      <c r="B402" s="2"/>
      <c r="C402" s="3"/>
      <c r="D402" s="3"/>
      <c r="E402" s="3"/>
      <c r="F402" s="3"/>
      <c r="G402" s="4"/>
      <c r="H402" s="4"/>
      <c r="I402" s="4"/>
      <c r="J402" s="1"/>
    </row>
    <row r="403" spans="1:10" ht="15">
      <c r="A403" s="1"/>
      <c r="B403" s="2"/>
      <c r="C403" s="3"/>
      <c r="D403" s="3"/>
      <c r="E403" s="3"/>
      <c r="F403" s="3"/>
      <c r="G403" s="4"/>
      <c r="H403" s="4"/>
      <c r="I403" s="4"/>
      <c r="J403" s="1"/>
    </row>
    <row r="404" spans="1:10" ht="15">
      <c r="A404" s="1"/>
      <c r="B404" s="2"/>
      <c r="C404" s="3"/>
      <c r="D404" s="3"/>
      <c r="E404" s="3"/>
      <c r="F404" s="3"/>
      <c r="G404" s="4"/>
      <c r="H404" s="4"/>
      <c r="I404" s="4"/>
      <c r="J404" s="1"/>
    </row>
    <row r="405" spans="1:10" ht="15">
      <c r="A405" s="1"/>
      <c r="B405" s="2"/>
      <c r="C405" s="3"/>
      <c r="D405" s="3"/>
      <c r="E405" s="3"/>
      <c r="F405" s="3"/>
      <c r="G405" s="4"/>
      <c r="H405" s="4"/>
      <c r="I405" s="4"/>
      <c r="J405" s="1"/>
    </row>
    <row r="406" spans="1:10" ht="15">
      <c r="A406" s="1"/>
      <c r="B406" s="2"/>
      <c r="C406" s="3"/>
      <c r="D406" s="3"/>
      <c r="E406" s="3"/>
      <c r="F406" s="3"/>
      <c r="G406" s="4"/>
      <c r="H406" s="4"/>
      <c r="I406" s="4"/>
      <c r="J406" s="1"/>
    </row>
    <row r="407" spans="1:10" ht="15">
      <c r="A407" s="1"/>
      <c r="B407" s="2"/>
      <c r="C407" s="3"/>
      <c r="D407" s="3"/>
      <c r="E407" s="3"/>
      <c r="F407" s="3"/>
      <c r="G407" s="4"/>
      <c r="H407" s="4"/>
      <c r="I407" s="4"/>
      <c r="J407" s="1"/>
    </row>
    <row r="408" spans="1:10" ht="15">
      <c r="A408" s="1"/>
      <c r="B408" s="2"/>
      <c r="C408" s="3"/>
      <c r="D408" s="3"/>
      <c r="E408" s="3"/>
      <c r="F408" s="3"/>
      <c r="G408" s="4"/>
      <c r="H408" s="4"/>
      <c r="I408" s="4"/>
      <c r="J408" s="1"/>
    </row>
    <row r="409" spans="1:10" ht="15">
      <c r="A409" s="1"/>
      <c r="B409" s="2"/>
      <c r="C409" s="3"/>
      <c r="D409" s="3"/>
      <c r="E409" s="3"/>
      <c r="F409" s="3"/>
      <c r="G409" s="4"/>
      <c r="H409" s="4"/>
      <c r="I409" s="4"/>
      <c r="J409" s="1"/>
    </row>
    <row r="410" spans="1:10" ht="15">
      <c r="A410" s="1"/>
      <c r="B410" s="2"/>
      <c r="C410" s="3"/>
      <c r="D410" s="3"/>
      <c r="E410" s="3"/>
      <c r="F410" s="3"/>
      <c r="G410" s="4"/>
      <c r="H410" s="4"/>
      <c r="I410" s="4"/>
      <c r="J410" s="1"/>
    </row>
    <row r="411" spans="1:10" ht="15">
      <c r="A411" s="1"/>
      <c r="B411" s="2"/>
      <c r="C411" s="3"/>
      <c r="D411" s="3"/>
      <c r="E411" s="3"/>
      <c r="F411" s="3"/>
      <c r="G411" s="4"/>
      <c r="H411" s="4"/>
      <c r="I411" s="4"/>
      <c r="J411" s="1"/>
    </row>
    <row r="412" spans="1:10" ht="15">
      <c r="A412" s="1"/>
      <c r="B412" s="2"/>
      <c r="C412" s="3"/>
      <c r="D412" s="3"/>
      <c r="E412" s="3"/>
      <c r="F412" s="3"/>
      <c r="G412" s="4"/>
      <c r="H412" s="4"/>
      <c r="I412" s="4"/>
      <c r="J412" s="1"/>
    </row>
    <row r="413" spans="1:10" ht="15">
      <c r="A413" s="1"/>
      <c r="B413" s="2"/>
      <c r="C413" s="3"/>
      <c r="D413" s="3"/>
      <c r="E413" s="3"/>
      <c r="F413" s="3"/>
      <c r="G413" s="4"/>
      <c r="H413" s="4"/>
      <c r="I413" s="4"/>
      <c r="J413" s="1"/>
    </row>
    <row r="414" spans="1:10" ht="15">
      <c r="A414" s="1"/>
      <c r="B414" s="2"/>
      <c r="C414" s="3"/>
      <c r="D414" s="3"/>
      <c r="E414" s="3"/>
      <c r="F414" s="3"/>
      <c r="G414" s="4"/>
      <c r="H414" s="4"/>
      <c r="I414" s="4"/>
      <c r="J414" s="1"/>
    </row>
    <row r="415" spans="1:10" ht="15">
      <c r="A415" s="1"/>
      <c r="B415" s="2"/>
      <c r="C415" s="3"/>
      <c r="D415" s="3"/>
      <c r="E415" s="3"/>
      <c r="F415" s="3"/>
      <c r="G415" s="4"/>
      <c r="H415" s="4"/>
      <c r="I415" s="4"/>
      <c r="J415" s="1"/>
    </row>
    <row r="416" spans="1:10" ht="15">
      <c r="A416" s="1"/>
      <c r="B416" s="2"/>
      <c r="C416" s="3"/>
      <c r="D416" s="3"/>
      <c r="E416" s="3"/>
      <c r="F416" s="3"/>
      <c r="G416" s="4"/>
      <c r="H416" s="4"/>
      <c r="I416" s="4"/>
      <c r="J416" s="1"/>
    </row>
    <row r="417" spans="1:10" ht="15">
      <c r="A417" s="1"/>
      <c r="B417" s="2"/>
      <c r="C417" s="3"/>
      <c r="D417" s="3"/>
      <c r="E417" s="3"/>
      <c r="F417" s="3"/>
      <c r="G417" s="4"/>
      <c r="H417" s="4"/>
      <c r="I417" s="4"/>
      <c r="J417" s="1"/>
    </row>
    <row r="418" spans="1:10" ht="15">
      <c r="A418" s="1"/>
      <c r="B418" s="2"/>
      <c r="C418" s="3"/>
      <c r="D418" s="3"/>
      <c r="E418" s="3"/>
      <c r="F418" s="3"/>
      <c r="G418" s="4"/>
      <c r="H418" s="4"/>
      <c r="I418" s="4"/>
      <c r="J418" s="1"/>
    </row>
    <row r="419" spans="1:10" ht="15">
      <c r="A419" s="1"/>
      <c r="B419" s="2"/>
      <c r="C419" s="3"/>
      <c r="D419" s="3"/>
      <c r="E419" s="3"/>
      <c r="F419" s="3"/>
      <c r="G419" s="4"/>
      <c r="H419" s="4"/>
      <c r="I419" s="4"/>
      <c r="J419" s="1"/>
    </row>
    <row r="420" spans="1:10" ht="15">
      <c r="A420" s="1"/>
      <c r="B420" s="2"/>
      <c r="C420" s="3"/>
      <c r="D420" s="3"/>
      <c r="E420" s="3"/>
      <c r="F420" s="3"/>
      <c r="G420" s="4"/>
      <c r="H420" s="4"/>
      <c r="I420" s="4"/>
      <c r="J420" s="1"/>
    </row>
    <row r="421" spans="1:10" ht="15">
      <c r="A421" s="1"/>
      <c r="B421" s="2"/>
      <c r="C421" s="3"/>
      <c r="D421" s="3"/>
      <c r="E421" s="3"/>
      <c r="F421" s="3"/>
      <c r="G421" s="4"/>
      <c r="H421" s="4"/>
      <c r="I421" s="4"/>
      <c r="J421" s="1"/>
    </row>
    <row r="422" spans="1:10" ht="15">
      <c r="A422" s="1"/>
      <c r="B422" s="2"/>
      <c r="C422" s="3"/>
      <c r="D422" s="3"/>
      <c r="E422" s="3"/>
      <c r="F422" s="3"/>
      <c r="G422" s="4"/>
      <c r="H422" s="4"/>
      <c r="I422" s="4"/>
      <c r="J422" s="1"/>
    </row>
    <row r="423" spans="1:10" ht="15">
      <c r="A423" s="1"/>
      <c r="B423" s="2"/>
      <c r="C423" s="3"/>
      <c r="D423" s="3"/>
      <c r="E423" s="3"/>
      <c r="F423" s="3"/>
      <c r="G423" s="4"/>
      <c r="H423" s="4"/>
      <c r="I423" s="4"/>
      <c r="J423" s="1"/>
    </row>
    <row r="424" spans="1:10" ht="15">
      <c r="A424" s="1"/>
      <c r="B424" s="2"/>
      <c r="C424" s="3"/>
      <c r="D424" s="3"/>
      <c r="E424" s="3"/>
      <c r="F424" s="3"/>
      <c r="G424" s="4"/>
      <c r="H424" s="4"/>
      <c r="I424" s="4"/>
      <c r="J424" s="1"/>
    </row>
    <row r="425" spans="1:10" ht="15">
      <c r="A425" s="1"/>
      <c r="B425" s="2"/>
      <c r="C425" s="3"/>
      <c r="D425" s="3"/>
      <c r="E425" s="3"/>
      <c r="F425" s="3"/>
      <c r="G425" s="4"/>
      <c r="H425" s="4"/>
      <c r="I425" s="4"/>
      <c r="J425" s="1"/>
    </row>
    <row r="426" spans="1:10" ht="15">
      <c r="A426" s="1"/>
      <c r="B426" s="2"/>
      <c r="C426" s="3"/>
      <c r="D426" s="3"/>
      <c r="E426" s="3"/>
      <c r="F426" s="3"/>
      <c r="G426" s="4"/>
      <c r="H426" s="4"/>
      <c r="I426" s="4"/>
      <c r="J426" s="1"/>
    </row>
    <row r="427" spans="1:10" ht="15">
      <c r="A427" s="1"/>
      <c r="B427" s="2"/>
      <c r="C427" s="3"/>
      <c r="D427" s="3"/>
      <c r="E427" s="3"/>
      <c r="F427" s="3"/>
      <c r="G427" s="4"/>
      <c r="H427" s="4"/>
      <c r="I427" s="4"/>
      <c r="J427" s="1"/>
    </row>
    <row r="428" spans="1:10" ht="15">
      <c r="A428" s="1"/>
      <c r="B428" s="2"/>
      <c r="C428" s="3"/>
      <c r="D428" s="3"/>
      <c r="E428" s="3"/>
      <c r="F428" s="3"/>
      <c r="G428" s="4"/>
      <c r="H428" s="4"/>
      <c r="I428" s="4"/>
      <c r="J428" s="1"/>
    </row>
    <row r="429" spans="1:10" ht="15">
      <c r="A429" s="1"/>
      <c r="B429" s="2"/>
      <c r="C429" s="3"/>
      <c r="D429" s="3"/>
      <c r="E429" s="3"/>
      <c r="F429" s="3"/>
      <c r="G429" s="4"/>
      <c r="H429" s="4"/>
      <c r="I429" s="4"/>
      <c r="J429" s="1"/>
    </row>
    <row r="430" spans="1:10" ht="15">
      <c r="A430" s="1"/>
      <c r="B430" s="2"/>
      <c r="C430" s="3"/>
      <c r="D430" s="3"/>
      <c r="E430" s="3"/>
      <c r="F430" s="3"/>
      <c r="G430" s="4"/>
      <c r="H430" s="4"/>
      <c r="I430" s="4"/>
      <c r="J430" s="1"/>
    </row>
    <row r="431" spans="1:10" ht="15">
      <c r="A431" s="1"/>
      <c r="B431" s="2"/>
      <c r="C431" s="3"/>
      <c r="D431" s="3"/>
      <c r="E431" s="3"/>
      <c r="F431" s="3"/>
      <c r="G431" s="4"/>
      <c r="H431" s="4"/>
      <c r="I431" s="4"/>
      <c r="J431" s="1"/>
    </row>
    <row r="432" spans="1:10" ht="15">
      <c r="A432" s="1"/>
      <c r="B432" s="2"/>
      <c r="C432" s="3"/>
      <c r="D432" s="3"/>
      <c r="E432" s="3"/>
      <c r="F432" s="3"/>
      <c r="G432" s="4"/>
      <c r="H432" s="4"/>
      <c r="I432" s="4"/>
      <c r="J432" s="1"/>
    </row>
    <row r="433" spans="1:10" ht="15">
      <c r="A433" s="1"/>
      <c r="B433" s="2"/>
      <c r="C433" s="3"/>
      <c r="D433" s="3"/>
      <c r="E433" s="3"/>
      <c r="F433" s="3"/>
      <c r="G433" s="4"/>
      <c r="H433" s="4"/>
      <c r="I433" s="4"/>
      <c r="J433" s="1"/>
    </row>
    <row r="434" spans="1:10" ht="15">
      <c r="A434" s="1"/>
      <c r="B434" s="2"/>
      <c r="C434" s="3"/>
      <c r="D434" s="3"/>
      <c r="E434" s="3"/>
      <c r="F434" s="3"/>
      <c r="G434" s="4"/>
      <c r="H434" s="4"/>
      <c r="I434" s="4"/>
      <c r="J434" s="1"/>
    </row>
    <row r="435" spans="1:10" ht="15">
      <c r="A435" s="1"/>
      <c r="B435" s="2"/>
      <c r="C435" s="3"/>
      <c r="D435" s="3"/>
      <c r="E435" s="3"/>
      <c r="F435" s="3"/>
      <c r="G435" s="4"/>
      <c r="H435" s="4"/>
      <c r="I435" s="4"/>
      <c r="J435" s="1"/>
    </row>
    <row r="436" spans="1:10" ht="15">
      <c r="A436" s="1"/>
      <c r="B436" s="2"/>
      <c r="C436" s="3"/>
      <c r="D436" s="3"/>
      <c r="E436" s="3"/>
      <c r="F436" s="3"/>
      <c r="G436" s="4"/>
      <c r="H436" s="4"/>
      <c r="I436" s="4"/>
      <c r="J436" s="1"/>
    </row>
    <row r="437" spans="1:10" ht="15">
      <c r="A437" s="1"/>
      <c r="B437" s="2"/>
      <c r="C437" s="3"/>
      <c r="D437" s="3"/>
      <c r="E437" s="3"/>
      <c r="F437" s="3"/>
      <c r="G437" s="4"/>
      <c r="H437" s="4"/>
      <c r="I437" s="4"/>
      <c r="J437" s="1"/>
    </row>
    <row r="438" spans="1:10" ht="15">
      <c r="A438" s="1"/>
      <c r="B438" s="2"/>
      <c r="C438" s="3"/>
      <c r="D438" s="3"/>
      <c r="E438" s="3"/>
      <c r="F438" s="3"/>
      <c r="G438" s="4"/>
      <c r="H438" s="4"/>
      <c r="I438" s="4"/>
      <c r="J438" s="1"/>
    </row>
    <row r="439" spans="1:10" ht="15">
      <c r="A439" s="1"/>
      <c r="B439" s="2"/>
      <c r="C439" s="3"/>
      <c r="D439" s="3"/>
      <c r="E439" s="3"/>
      <c r="F439" s="3"/>
      <c r="G439" s="4"/>
      <c r="H439" s="4"/>
      <c r="I439" s="4"/>
      <c r="J439" s="1"/>
    </row>
    <row r="440" spans="1:10" ht="15">
      <c r="A440" s="1"/>
      <c r="B440" s="2"/>
      <c r="C440" s="3"/>
      <c r="D440" s="3"/>
      <c r="E440" s="3"/>
      <c r="F440" s="3"/>
      <c r="G440" s="4"/>
      <c r="H440" s="4"/>
      <c r="I440" s="4"/>
      <c r="J440" s="1"/>
    </row>
    <row r="441" spans="1:10" ht="15">
      <c r="A441" s="1"/>
      <c r="B441" s="2"/>
      <c r="C441" s="3"/>
      <c r="D441" s="3"/>
      <c r="E441" s="3"/>
      <c r="F441" s="3"/>
      <c r="G441" s="4"/>
      <c r="H441" s="4"/>
      <c r="I441" s="4"/>
      <c r="J441" s="1"/>
    </row>
    <row r="442" spans="1:10" ht="15">
      <c r="A442" s="1"/>
      <c r="B442" s="2"/>
      <c r="C442" s="3"/>
      <c r="D442" s="3"/>
      <c r="E442" s="3"/>
      <c r="F442" s="3"/>
      <c r="G442" s="4"/>
      <c r="H442" s="4"/>
      <c r="I442" s="4"/>
      <c r="J442" s="1"/>
    </row>
    <row r="443" spans="1:10" ht="15">
      <c r="A443" s="1"/>
      <c r="B443" s="2"/>
      <c r="C443" s="3"/>
      <c r="D443" s="3"/>
      <c r="E443" s="3"/>
      <c r="F443" s="3"/>
      <c r="G443" s="4"/>
      <c r="H443" s="4"/>
      <c r="I443" s="4"/>
      <c r="J443" s="1"/>
    </row>
    <row r="444" spans="1:10" ht="15">
      <c r="A444" s="1"/>
      <c r="B444" s="2"/>
      <c r="C444" s="3"/>
      <c r="D444" s="3"/>
      <c r="E444" s="3"/>
      <c r="F444" s="3"/>
      <c r="G444" s="4"/>
      <c r="H444" s="4"/>
      <c r="I444" s="4"/>
      <c r="J444" s="1"/>
    </row>
    <row r="445" spans="1:10" ht="15">
      <c r="A445" s="1"/>
      <c r="B445" s="2"/>
      <c r="C445" s="3"/>
      <c r="D445" s="3"/>
      <c r="E445" s="3"/>
      <c r="F445" s="3"/>
      <c r="G445" s="4"/>
      <c r="H445" s="4"/>
      <c r="I445" s="4"/>
      <c r="J445" s="1"/>
    </row>
    <row r="446" spans="1:10" ht="15">
      <c r="A446" s="1"/>
      <c r="B446" s="2"/>
      <c r="C446" s="3"/>
      <c r="D446" s="3"/>
      <c r="E446" s="3"/>
      <c r="F446" s="3"/>
      <c r="G446" s="4"/>
      <c r="H446" s="4"/>
      <c r="I446" s="4"/>
      <c r="J446" s="1"/>
    </row>
    <row r="447" spans="1:10" ht="15">
      <c r="A447" s="1"/>
      <c r="B447" s="2"/>
      <c r="C447" s="3"/>
      <c r="D447" s="3"/>
      <c r="E447" s="3"/>
      <c r="F447" s="3"/>
      <c r="G447" s="4"/>
      <c r="H447" s="4"/>
      <c r="I447" s="4"/>
      <c r="J447" s="1"/>
    </row>
    <row r="448" spans="1:10" ht="15">
      <c r="A448" s="1"/>
      <c r="B448" s="2"/>
      <c r="C448" s="3"/>
      <c r="D448" s="3"/>
      <c r="E448" s="3"/>
      <c r="F448" s="3"/>
      <c r="G448" s="4"/>
      <c r="H448" s="4"/>
      <c r="I448" s="4"/>
      <c r="J448" s="1"/>
    </row>
    <row r="449" spans="1:10" ht="15">
      <c r="A449" s="1"/>
      <c r="B449" s="2"/>
      <c r="C449" s="3"/>
      <c r="D449" s="3"/>
      <c r="E449" s="3"/>
      <c r="F449" s="3"/>
      <c r="G449" s="4"/>
      <c r="H449" s="4"/>
      <c r="I449" s="4"/>
      <c r="J449" s="1"/>
    </row>
    <row r="450" spans="1:10" ht="15">
      <c r="A450" s="1"/>
      <c r="B450" s="2"/>
      <c r="C450" s="3"/>
      <c r="D450" s="3"/>
      <c r="E450" s="3"/>
      <c r="F450" s="3"/>
      <c r="G450" s="4"/>
      <c r="H450" s="4"/>
      <c r="I450" s="4"/>
      <c r="J450" s="1"/>
    </row>
    <row r="451" spans="1:10" ht="15">
      <c r="A451" s="1"/>
      <c r="B451" s="2"/>
      <c r="C451" s="3"/>
      <c r="D451" s="3"/>
      <c r="E451" s="3"/>
      <c r="F451" s="3"/>
      <c r="G451" s="4"/>
      <c r="H451" s="4"/>
      <c r="I451" s="4"/>
      <c r="J451" s="1"/>
    </row>
    <row r="452" spans="1:10" ht="15">
      <c r="A452" s="1"/>
      <c r="B452" s="2"/>
      <c r="C452" s="3"/>
      <c r="D452" s="3"/>
      <c r="E452" s="3"/>
      <c r="F452" s="3"/>
      <c r="G452" s="4"/>
      <c r="H452" s="4"/>
      <c r="I452" s="4"/>
      <c r="J452" s="1"/>
    </row>
    <row r="453" spans="1:10" ht="15">
      <c r="A453" s="1"/>
      <c r="B453" s="2"/>
      <c r="C453" s="3"/>
      <c r="D453" s="3"/>
      <c r="E453" s="3"/>
      <c r="F453" s="3"/>
      <c r="G453" s="4"/>
      <c r="H453" s="4"/>
      <c r="I453" s="4"/>
      <c r="J453" s="1"/>
    </row>
    <row r="454" spans="1:10" ht="15">
      <c r="A454" s="1"/>
      <c r="B454" s="2"/>
      <c r="C454" s="3"/>
      <c r="D454" s="3"/>
      <c r="E454" s="3"/>
      <c r="F454" s="3"/>
      <c r="G454" s="4"/>
      <c r="H454" s="4"/>
      <c r="I454" s="4"/>
      <c r="J454" s="1"/>
    </row>
    <row r="455" spans="1:10" ht="15">
      <c r="A455" s="1"/>
      <c r="B455" s="2"/>
      <c r="C455" s="3"/>
      <c r="D455" s="3"/>
      <c r="E455" s="3"/>
      <c r="F455" s="3"/>
      <c r="G455" s="4"/>
      <c r="H455" s="4"/>
      <c r="I455" s="4"/>
      <c r="J455" s="1"/>
    </row>
    <row r="456" spans="1:10" ht="15">
      <c r="A456" s="1"/>
      <c r="B456" s="2"/>
      <c r="C456" s="3"/>
      <c r="D456" s="3"/>
      <c r="E456" s="3"/>
      <c r="F456" s="3"/>
      <c r="G456" s="4"/>
      <c r="H456" s="4"/>
      <c r="I456" s="4"/>
      <c r="J456" s="1"/>
    </row>
    <row r="457" spans="1:10" ht="15">
      <c r="A457" s="1"/>
      <c r="B457" s="2"/>
      <c r="C457" s="3"/>
      <c r="D457" s="3"/>
      <c r="E457" s="3"/>
      <c r="F457" s="3"/>
      <c r="G457" s="4"/>
      <c r="H457" s="4"/>
      <c r="I457" s="4"/>
      <c r="J457" s="1"/>
    </row>
    <row r="458" spans="1:10" ht="15">
      <c r="A458" s="1"/>
      <c r="B458" s="2"/>
      <c r="C458" s="3"/>
      <c r="D458" s="3"/>
      <c r="E458" s="3"/>
      <c r="F458" s="3"/>
      <c r="G458" s="4"/>
      <c r="H458" s="4"/>
      <c r="I458" s="4"/>
      <c r="J458" s="1"/>
    </row>
    <row r="459" spans="1:10" ht="15">
      <c r="A459" s="1"/>
      <c r="B459" s="2"/>
      <c r="C459" s="3"/>
      <c r="D459" s="3"/>
      <c r="E459" s="3"/>
      <c r="F459" s="3"/>
      <c r="G459" s="4"/>
      <c r="H459" s="4"/>
      <c r="I459" s="4"/>
      <c r="J459" s="1"/>
    </row>
    <row r="460" spans="1:10" ht="15">
      <c r="A460" s="1"/>
      <c r="B460" s="2"/>
      <c r="C460" s="3"/>
      <c r="D460" s="3"/>
      <c r="E460" s="3"/>
      <c r="F460" s="3"/>
      <c r="G460" s="4"/>
      <c r="H460" s="4"/>
      <c r="I460" s="4"/>
      <c r="J460" s="1"/>
    </row>
    <row r="461" spans="1:10" ht="15">
      <c r="A461" s="1"/>
      <c r="B461" s="2"/>
      <c r="C461" s="3"/>
      <c r="D461" s="3"/>
      <c r="E461" s="3"/>
      <c r="F461" s="3"/>
      <c r="G461" s="4"/>
      <c r="H461" s="4"/>
      <c r="I461" s="4"/>
      <c r="J461" s="1"/>
    </row>
    <row r="462" spans="1:10" ht="15">
      <c r="A462" s="1"/>
      <c r="B462" s="2"/>
      <c r="C462" s="3"/>
      <c r="D462" s="3"/>
      <c r="E462" s="3"/>
      <c r="F462" s="3"/>
      <c r="G462" s="4"/>
      <c r="H462" s="4"/>
      <c r="I462" s="4"/>
      <c r="J462" s="1"/>
    </row>
    <row r="463" spans="1:10" ht="15">
      <c r="A463" s="1"/>
      <c r="B463" s="2"/>
      <c r="C463" s="3"/>
      <c r="D463" s="3"/>
      <c r="E463" s="3"/>
      <c r="F463" s="3"/>
      <c r="G463" s="4"/>
      <c r="H463" s="4"/>
      <c r="I463" s="4"/>
      <c r="J463" s="1"/>
    </row>
    <row r="464" spans="1:10" ht="15">
      <c r="A464" s="1"/>
      <c r="B464" s="2"/>
      <c r="C464" s="3"/>
      <c r="D464" s="3"/>
      <c r="E464" s="3"/>
      <c r="F464" s="3"/>
      <c r="G464" s="4"/>
      <c r="H464" s="4"/>
      <c r="I464" s="4"/>
      <c r="J464" s="1"/>
    </row>
    <row r="465" spans="1:10" ht="15">
      <c r="A465" s="1"/>
      <c r="B465" s="2"/>
      <c r="C465" s="3"/>
      <c r="D465" s="3"/>
      <c r="E465" s="3"/>
      <c r="F465" s="3"/>
      <c r="G465" s="4"/>
      <c r="H465" s="4"/>
      <c r="I465" s="4"/>
      <c r="J465" s="1"/>
    </row>
    <row r="466" spans="1:10" ht="15">
      <c r="A466" s="1"/>
      <c r="B466" s="2"/>
      <c r="C466" s="3"/>
      <c r="D466" s="3"/>
      <c r="E466" s="3"/>
      <c r="F466" s="3"/>
      <c r="G466" s="4"/>
      <c r="H466" s="4"/>
      <c r="I466" s="4"/>
      <c r="J466" s="1"/>
    </row>
    <row r="467" spans="1:10" ht="15">
      <c r="A467" s="1"/>
      <c r="B467" s="2"/>
      <c r="C467" s="3"/>
      <c r="D467" s="3"/>
      <c r="E467" s="3"/>
      <c r="F467" s="3"/>
      <c r="G467" s="4"/>
      <c r="H467" s="4"/>
      <c r="I467" s="4"/>
      <c r="J467" s="1"/>
    </row>
    <row r="468" spans="1:10" ht="15">
      <c r="A468" s="1"/>
      <c r="B468" s="2"/>
      <c r="C468" s="3"/>
      <c r="D468" s="3"/>
      <c r="E468" s="3"/>
      <c r="F468" s="3"/>
      <c r="G468" s="4"/>
      <c r="H468" s="4"/>
      <c r="I468" s="4"/>
      <c r="J468" s="1"/>
    </row>
    <row r="469" spans="1:10" ht="15">
      <c r="A469" s="1"/>
      <c r="B469" s="2"/>
      <c r="C469" s="3"/>
      <c r="D469" s="3"/>
      <c r="E469" s="3"/>
      <c r="F469" s="3"/>
      <c r="G469" s="4"/>
      <c r="H469" s="4"/>
      <c r="I469" s="4"/>
      <c r="J469" s="1"/>
    </row>
    <row r="470" spans="1:10" ht="15">
      <c r="A470" s="1"/>
      <c r="B470" s="2"/>
      <c r="C470" s="3"/>
      <c r="D470" s="3"/>
      <c r="E470" s="3"/>
      <c r="F470" s="3"/>
      <c r="G470" s="4"/>
      <c r="H470" s="4"/>
      <c r="I470" s="4"/>
      <c r="J470" s="1"/>
    </row>
    <row r="471" spans="1:10" ht="15">
      <c r="A471" s="1"/>
      <c r="B471" s="2"/>
      <c r="C471" s="3"/>
      <c r="D471" s="3"/>
      <c r="E471" s="3"/>
      <c r="F471" s="3"/>
      <c r="G471" s="4"/>
      <c r="H471" s="4"/>
      <c r="I471" s="4"/>
      <c r="J471" s="1"/>
    </row>
    <row r="472" spans="1:10" ht="15">
      <c r="A472" s="1"/>
      <c r="B472" s="2"/>
      <c r="C472" s="3"/>
      <c r="D472" s="3"/>
      <c r="E472" s="3"/>
      <c r="F472" s="3"/>
      <c r="G472" s="4"/>
      <c r="H472" s="4"/>
      <c r="I472" s="4"/>
      <c r="J472" s="1"/>
    </row>
    <row r="473" spans="1:10" ht="15">
      <c r="A473" s="1"/>
      <c r="B473" s="2"/>
      <c r="C473" s="3"/>
      <c r="D473" s="3"/>
      <c r="E473" s="3"/>
      <c r="F473" s="3"/>
      <c r="G473" s="4"/>
      <c r="H473" s="4"/>
      <c r="I473" s="4"/>
      <c r="J473" s="1"/>
    </row>
    <row r="474" spans="1:10" ht="15">
      <c r="A474" s="1"/>
      <c r="B474" s="2"/>
      <c r="C474" s="3"/>
      <c r="D474" s="3"/>
      <c r="E474" s="3"/>
      <c r="F474" s="3"/>
      <c r="G474" s="4"/>
      <c r="H474" s="4"/>
      <c r="I474" s="4"/>
      <c r="J474" s="1"/>
    </row>
    <row r="475" spans="1:10" ht="15">
      <c r="A475" s="1"/>
      <c r="B475" s="2"/>
      <c r="C475" s="3"/>
      <c r="D475" s="3"/>
      <c r="E475" s="3"/>
      <c r="F475" s="3"/>
      <c r="G475" s="4"/>
      <c r="H475" s="4"/>
      <c r="I475" s="4"/>
      <c r="J475" s="1"/>
    </row>
    <row r="476" spans="1:10" ht="15">
      <c r="A476" s="1"/>
      <c r="B476" s="2"/>
      <c r="C476" s="3"/>
      <c r="D476" s="3"/>
      <c r="E476" s="3"/>
      <c r="F476" s="3"/>
      <c r="G476" s="4"/>
      <c r="H476" s="4"/>
      <c r="I476" s="4"/>
      <c r="J476" s="1"/>
    </row>
    <row r="477" spans="1:10" ht="15">
      <c r="A477" s="1"/>
      <c r="B477" s="2"/>
      <c r="C477" s="3"/>
      <c r="D477" s="3"/>
      <c r="E477" s="3"/>
      <c r="F477" s="3"/>
      <c r="G477" s="4"/>
      <c r="H477" s="4"/>
      <c r="I477" s="4"/>
      <c r="J477" s="1"/>
    </row>
    <row r="478" spans="1:10" ht="15">
      <c r="A478" s="1"/>
      <c r="B478" s="2"/>
      <c r="C478" s="3"/>
      <c r="D478" s="3"/>
      <c r="E478" s="3"/>
      <c r="F478" s="3"/>
      <c r="G478" s="4"/>
      <c r="H478" s="4"/>
      <c r="I478" s="4"/>
      <c r="J478" s="1"/>
    </row>
    <row r="479" spans="1:10" ht="15">
      <c r="A479" s="1"/>
      <c r="B479" s="2"/>
      <c r="C479" s="3"/>
      <c r="D479" s="3"/>
      <c r="E479" s="3"/>
      <c r="F479" s="3"/>
      <c r="G479" s="4"/>
      <c r="H479" s="4"/>
      <c r="I479" s="4"/>
      <c r="J479" s="1"/>
    </row>
    <row r="480" spans="1:10" ht="15">
      <c r="A480" s="1"/>
      <c r="B480" s="2"/>
      <c r="C480" s="3"/>
      <c r="D480" s="3"/>
      <c r="E480" s="3"/>
      <c r="F480" s="3"/>
      <c r="G480" s="4"/>
      <c r="H480" s="4"/>
      <c r="I480" s="4"/>
      <c r="J480" s="1"/>
    </row>
    <row r="481" spans="1:10" ht="15">
      <c r="A481" s="1"/>
      <c r="B481" s="2"/>
      <c r="C481" s="3"/>
      <c r="D481" s="3"/>
      <c r="E481" s="3"/>
      <c r="F481" s="3"/>
      <c r="G481" s="4"/>
      <c r="H481" s="4"/>
      <c r="I481" s="4"/>
      <c r="J481" s="1"/>
    </row>
    <row r="482" spans="1:10" ht="15">
      <c r="A482" s="1"/>
      <c r="B482" s="2"/>
      <c r="C482" s="3"/>
      <c r="D482" s="3"/>
      <c r="E482" s="3"/>
      <c r="F482" s="3"/>
      <c r="G482" s="4"/>
      <c r="H482" s="4"/>
      <c r="I482" s="4"/>
      <c r="J482" s="1"/>
    </row>
    <row r="483" spans="1:10" ht="15">
      <c r="A483" s="1"/>
      <c r="B483" s="2"/>
      <c r="C483" s="3"/>
      <c r="D483" s="3"/>
      <c r="E483" s="3"/>
      <c r="F483" s="3"/>
      <c r="G483" s="4"/>
      <c r="H483" s="4"/>
      <c r="I483" s="4"/>
      <c r="J483" s="1"/>
    </row>
    <row r="484" spans="1:10" ht="15">
      <c r="A484" s="1"/>
      <c r="B484" s="2"/>
      <c r="C484" s="3"/>
      <c r="D484" s="3"/>
      <c r="E484" s="3"/>
      <c r="F484" s="3"/>
      <c r="G484" s="4"/>
      <c r="H484" s="4"/>
      <c r="I484" s="4"/>
      <c r="J484" s="1"/>
    </row>
    <row r="485" spans="1:10" ht="15">
      <c r="A485" s="1"/>
      <c r="B485" s="2"/>
      <c r="C485" s="3"/>
      <c r="D485" s="3"/>
      <c r="E485" s="3"/>
      <c r="F485" s="3"/>
      <c r="G485" s="4"/>
      <c r="H485" s="4"/>
      <c r="I485" s="4"/>
      <c r="J485" s="1"/>
    </row>
    <row r="486" spans="1:10" ht="15">
      <c r="A486" s="1"/>
      <c r="B486" s="2"/>
      <c r="C486" s="3"/>
      <c r="D486" s="3"/>
      <c r="E486" s="3"/>
      <c r="F486" s="3"/>
      <c r="G486" s="4"/>
      <c r="H486" s="4"/>
      <c r="I486" s="4"/>
      <c r="J486" s="1"/>
    </row>
    <row r="487" spans="1:10" ht="15">
      <c r="A487" s="1"/>
      <c r="B487" s="2"/>
      <c r="C487" s="3"/>
      <c r="D487" s="3"/>
      <c r="E487" s="3"/>
      <c r="F487" s="3"/>
      <c r="G487" s="4"/>
      <c r="H487" s="4"/>
      <c r="I487" s="4"/>
      <c r="J487" s="1"/>
    </row>
    <row r="488" spans="1:10" ht="15">
      <c r="A488" s="1"/>
      <c r="B488" s="2"/>
      <c r="C488" s="3"/>
      <c r="D488" s="3"/>
      <c r="E488" s="3"/>
      <c r="F488" s="3"/>
      <c r="G488" s="4"/>
      <c r="H488" s="4"/>
      <c r="I488" s="4"/>
      <c r="J488" s="1"/>
    </row>
    <row r="489" spans="1:10" ht="15">
      <c r="A489" s="1"/>
      <c r="B489" s="2"/>
      <c r="C489" s="3"/>
      <c r="D489" s="3"/>
      <c r="E489" s="3"/>
      <c r="F489" s="3"/>
      <c r="G489" s="4"/>
      <c r="H489" s="4"/>
      <c r="I489" s="4"/>
      <c r="J489" s="1"/>
    </row>
    <row r="490" spans="1:10" ht="15">
      <c r="A490" s="1"/>
      <c r="B490" s="2"/>
      <c r="C490" s="3"/>
      <c r="D490" s="3"/>
      <c r="E490" s="3"/>
      <c r="F490" s="3"/>
      <c r="G490" s="4"/>
      <c r="H490" s="4"/>
      <c r="I490" s="4"/>
      <c r="J490" s="1"/>
    </row>
    <row r="491" spans="1:10" ht="15">
      <c r="A491" s="1"/>
      <c r="B491" s="2"/>
      <c r="C491" s="3"/>
      <c r="D491" s="3"/>
      <c r="E491" s="3"/>
      <c r="F491" s="3"/>
      <c r="G491" s="4"/>
      <c r="H491" s="4"/>
      <c r="I491" s="4"/>
      <c r="J491" s="1"/>
    </row>
    <row r="492" spans="1:10" ht="15">
      <c r="A492" s="1"/>
      <c r="B492" s="2"/>
      <c r="C492" s="3"/>
      <c r="D492" s="3"/>
      <c r="E492" s="3"/>
      <c r="F492" s="3"/>
      <c r="G492" s="4"/>
      <c r="H492" s="4"/>
      <c r="I492" s="4"/>
      <c r="J492" s="1"/>
    </row>
    <row r="493" spans="1:10" ht="15">
      <c r="A493" s="1"/>
      <c r="B493" s="2"/>
      <c r="C493" s="3"/>
      <c r="D493" s="3"/>
      <c r="E493" s="3"/>
      <c r="F493" s="3"/>
      <c r="G493" s="4"/>
      <c r="H493" s="4"/>
      <c r="I493" s="4"/>
      <c r="J493" s="1"/>
    </row>
    <row r="494" spans="1:10" ht="15">
      <c r="A494" s="1"/>
      <c r="B494" s="2"/>
      <c r="C494" s="3"/>
      <c r="D494" s="3"/>
      <c r="E494" s="3"/>
      <c r="F494" s="3"/>
      <c r="G494" s="4"/>
      <c r="H494" s="4"/>
      <c r="I494" s="4"/>
      <c r="J494" s="1"/>
    </row>
    <row r="495" spans="1:10" ht="15">
      <c r="A495" s="1"/>
      <c r="B495" s="2"/>
      <c r="C495" s="3"/>
      <c r="D495" s="3"/>
      <c r="E495" s="3"/>
      <c r="F495" s="3"/>
      <c r="G495" s="4"/>
      <c r="H495" s="4"/>
      <c r="I495" s="4"/>
      <c r="J495" s="1"/>
    </row>
    <row r="496" spans="1:10" ht="15">
      <c r="A496" s="1"/>
      <c r="B496" s="2"/>
      <c r="C496" s="3"/>
      <c r="D496" s="3"/>
      <c r="E496" s="3"/>
      <c r="F496" s="3"/>
      <c r="G496" s="4"/>
      <c r="H496" s="4"/>
      <c r="I496" s="4"/>
      <c r="J496" s="1"/>
    </row>
    <row r="497" spans="1:10" ht="15">
      <c r="A497" s="1"/>
      <c r="B497" s="2"/>
      <c r="C497" s="3"/>
      <c r="D497" s="3"/>
      <c r="E497" s="3"/>
      <c r="F497" s="3"/>
      <c r="G497" s="4"/>
      <c r="H497" s="4"/>
      <c r="I497" s="4"/>
      <c r="J497" s="1"/>
    </row>
    <row r="498" spans="1:10" ht="15">
      <c r="A498" s="1"/>
      <c r="B498" s="2"/>
      <c r="C498" s="3"/>
      <c r="D498" s="3"/>
      <c r="E498" s="3"/>
      <c r="F498" s="3"/>
      <c r="G498" s="4"/>
      <c r="H498" s="4"/>
      <c r="I498" s="4"/>
      <c r="J498" s="1"/>
    </row>
    <row r="499" spans="1:10" ht="15">
      <c r="A499" s="1"/>
      <c r="B499" s="2"/>
      <c r="C499" s="3"/>
      <c r="D499" s="3"/>
      <c r="E499" s="3"/>
      <c r="F499" s="3"/>
      <c r="G499" s="4"/>
      <c r="H499" s="4"/>
      <c r="I499" s="4"/>
      <c r="J499" s="1"/>
    </row>
    <row r="500" spans="1:10" ht="15">
      <c r="A500" s="1"/>
      <c r="B500" s="2"/>
      <c r="C500" s="3"/>
      <c r="D500" s="3"/>
      <c r="E500" s="3"/>
      <c r="F500" s="3"/>
      <c r="G500" s="4"/>
      <c r="H500" s="4"/>
      <c r="I500" s="4"/>
      <c r="J500" s="1"/>
    </row>
    <row r="501" spans="1:10" ht="15">
      <c r="A501" s="1"/>
      <c r="B501" s="2"/>
      <c r="C501" s="3"/>
      <c r="D501" s="3"/>
      <c r="E501" s="3"/>
      <c r="F501" s="3"/>
      <c r="G501" s="4"/>
      <c r="H501" s="4"/>
      <c r="I501" s="4"/>
      <c r="J501" s="1"/>
    </row>
    <row r="502" spans="1:10" ht="15">
      <c r="A502" s="1"/>
      <c r="B502" s="2"/>
      <c r="C502" s="3"/>
      <c r="D502" s="3"/>
      <c r="E502" s="3"/>
      <c r="F502" s="3"/>
      <c r="G502" s="4"/>
      <c r="H502" s="4"/>
      <c r="I502" s="4"/>
      <c r="J502" s="1"/>
    </row>
    <row r="503" spans="1:10" ht="15">
      <c r="A503" s="1"/>
      <c r="B503" s="2"/>
      <c r="C503" s="3"/>
      <c r="D503" s="3"/>
      <c r="E503" s="3"/>
      <c r="F503" s="3"/>
      <c r="G503" s="4"/>
      <c r="H503" s="4"/>
      <c r="I503" s="4"/>
      <c r="J503" s="1"/>
    </row>
    <row r="504" spans="1:10" ht="15">
      <c r="A504" s="1"/>
      <c r="B504" s="2"/>
      <c r="C504" s="3"/>
      <c r="D504" s="3"/>
      <c r="E504" s="3"/>
      <c r="F504" s="3"/>
      <c r="G504" s="4"/>
      <c r="H504" s="4"/>
      <c r="I504" s="4"/>
      <c r="J504" s="1"/>
    </row>
    <row r="505" spans="1:10" ht="15">
      <c r="A505" s="1"/>
      <c r="B505" s="2"/>
      <c r="C505" s="3"/>
      <c r="D505" s="3"/>
      <c r="E505" s="3"/>
      <c r="F505" s="3"/>
      <c r="G505" s="4"/>
      <c r="H505" s="4"/>
      <c r="I505" s="4"/>
      <c r="J505" s="1"/>
    </row>
    <row r="506" spans="1:10" ht="15">
      <c r="A506" s="1"/>
      <c r="B506" s="2"/>
      <c r="C506" s="3"/>
      <c r="D506" s="3"/>
      <c r="E506" s="3"/>
      <c r="F506" s="3"/>
      <c r="G506" s="4"/>
      <c r="H506" s="4"/>
      <c r="I506" s="4"/>
      <c r="J506" s="1"/>
    </row>
    <row r="507" spans="1:10" ht="15">
      <c r="A507" s="1"/>
      <c r="B507" s="2"/>
      <c r="C507" s="3"/>
      <c r="D507" s="3"/>
      <c r="E507" s="3"/>
      <c r="F507" s="3"/>
      <c r="G507" s="4"/>
      <c r="H507" s="4"/>
      <c r="I507" s="4"/>
      <c r="J507" s="1"/>
    </row>
    <row r="508" spans="1:10" ht="15">
      <c r="A508" s="1"/>
      <c r="B508" s="2"/>
      <c r="C508" s="3"/>
      <c r="D508" s="3"/>
      <c r="E508" s="3"/>
      <c r="F508" s="3"/>
      <c r="G508" s="4"/>
      <c r="H508" s="4"/>
      <c r="I508" s="4"/>
      <c r="J508" s="1"/>
    </row>
    <row r="509" spans="1:10" ht="15">
      <c r="A509" s="1"/>
      <c r="B509" s="2"/>
      <c r="C509" s="3"/>
      <c r="D509" s="3"/>
      <c r="E509" s="3"/>
      <c r="F509" s="3"/>
      <c r="G509" s="4"/>
      <c r="H509" s="4"/>
      <c r="I509" s="4"/>
      <c r="J509" s="1"/>
    </row>
    <row r="510" spans="1:10" ht="15">
      <c r="A510" s="1"/>
      <c r="B510" s="2"/>
      <c r="C510" s="3"/>
      <c r="D510" s="3"/>
      <c r="E510" s="3"/>
      <c r="F510" s="3"/>
      <c r="G510" s="4"/>
      <c r="H510" s="4"/>
      <c r="I510" s="4"/>
      <c r="J510" s="1"/>
    </row>
    <row r="511" spans="1:10" ht="15">
      <c r="A511" s="1"/>
      <c r="B511" s="2"/>
      <c r="C511" s="3"/>
      <c r="D511" s="3"/>
      <c r="E511" s="3"/>
      <c r="F511" s="3"/>
      <c r="G511" s="4"/>
      <c r="H511" s="4"/>
      <c r="I511" s="4"/>
      <c r="J511" s="1"/>
    </row>
    <row r="512" spans="1:10" ht="15">
      <c r="A512" s="1"/>
      <c r="B512" s="2"/>
      <c r="C512" s="3"/>
      <c r="D512" s="3"/>
      <c r="E512" s="3"/>
      <c r="F512" s="3"/>
      <c r="G512" s="4"/>
      <c r="H512" s="4"/>
      <c r="I512" s="4"/>
      <c r="J512" s="1"/>
    </row>
    <row r="513" spans="1:10" ht="15">
      <c r="A513" s="1"/>
      <c r="B513" s="2"/>
      <c r="C513" s="3"/>
      <c r="D513" s="3"/>
      <c r="E513" s="3"/>
      <c r="F513" s="3"/>
      <c r="G513" s="4"/>
      <c r="H513" s="4"/>
      <c r="I513" s="4"/>
      <c r="J513" s="1"/>
    </row>
    <row r="514" spans="1:10" ht="15">
      <c r="A514" s="1"/>
      <c r="B514" s="2"/>
      <c r="C514" s="3"/>
      <c r="D514" s="3"/>
      <c r="E514" s="3"/>
      <c r="F514" s="3"/>
      <c r="G514" s="4"/>
      <c r="H514" s="4"/>
      <c r="I514" s="4"/>
      <c r="J514" s="1"/>
    </row>
    <row r="515" spans="1:10" ht="15">
      <c r="A515" s="1"/>
      <c r="B515" s="2"/>
      <c r="C515" s="3"/>
      <c r="D515" s="3"/>
      <c r="E515" s="3"/>
      <c r="F515" s="3"/>
      <c r="G515" s="4"/>
      <c r="H515" s="4"/>
      <c r="I515" s="4"/>
      <c r="J515" s="1"/>
    </row>
    <row r="516" spans="1:10" ht="15">
      <c r="A516" s="1"/>
      <c r="B516" s="2"/>
      <c r="C516" s="3"/>
      <c r="D516" s="3"/>
      <c r="E516" s="3"/>
      <c r="F516" s="3"/>
      <c r="G516" s="4"/>
      <c r="H516" s="4"/>
      <c r="I516" s="4"/>
      <c r="J516" s="1"/>
    </row>
    <row r="517" spans="1:10" ht="15">
      <c r="A517" s="1"/>
      <c r="B517" s="2"/>
      <c r="C517" s="3"/>
      <c r="D517" s="3"/>
      <c r="E517" s="3"/>
      <c r="F517" s="3"/>
      <c r="G517" s="4"/>
      <c r="H517" s="4"/>
      <c r="I517" s="4"/>
      <c r="J517" s="1"/>
    </row>
    <row r="518" spans="1:10" ht="15">
      <c r="A518" s="1"/>
      <c r="B518" s="2"/>
      <c r="C518" s="3"/>
      <c r="D518" s="3"/>
      <c r="E518" s="3"/>
      <c r="F518" s="3"/>
      <c r="G518" s="4"/>
      <c r="H518" s="4"/>
      <c r="I518" s="4"/>
      <c r="J518" s="1"/>
    </row>
    <row r="519" spans="1:10" ht="15">
      <c r="A519" s="1"/>
      <c r="B519" s="2"/>
      <c r="C519" s="3"/>
      <c r="D519" s="3"/>
      <c r="E519" s="3"/>
      <c r="F519" s="3"/>
      <c r="G519" s="4"/>
      <c r="H519" s="4"/>
      <c r="I519" s="4"/>
      <c r="J519" s="1"/>
    </row>
    <row r="520" spans="1:10" ht="15">
      <c r="A520" s="1"/>
      <c r="B520" s="2"/>
      <c r="C520" s="3"/>
      <c r="D520" s="3"/>
      <c r="E520" s="3"/>
      <c r="F520" s="3"/>
      <c r="G520" s="4"/>
      <c r="H520" s="4"/>
      <c r="I520" s="4"/>
      <c r="J520" s="1"/>
    </row>
    <row r="521" spans="1:10" ht="15">
      <c r="A521" s="1"/>
      <c r="B521" s="2"/>
      <c r="C521" s="3"/>
      <c r="D521" s="3"/>
      <c r="E521" s="3"/>
      <c r="F521" s="3"/>
      <c r="G521" s="4"/>
      <c r="H521" s="4"/>
      <c r="I521" s="4"/>
      <c r="J521" s="1"/>
    </row>
    <row r="522" spans="1:10" ht="15">
      <c r="A522" s="1"/>
      <c r="B522" s="2"/>
      <c r="C522" s="3"/>
      <c r="D522" s="3"/>
      <c r="E522" s="3"/>
      <c r="F522" s="3"/>
      <c r="G522" s="4"/>
      <c r="H522" s="4"/>
      <c r="I522" s="4"/>
      <c r="J522" s="1"/>
    </row>
    <row r="523" spans="1:10" ht="15">
      <c r="A523" s="1"/>
      <c r="B523" s="2"/>
      <c r="C523" s="3"/>
      <c r="D523" s="3"/>
      <c r="E523" s="3"/>
      <c r="F523" s="3"/>
      <c r="G523" s="4"/>
      <c r="H523" s="4"/>
      <c r="I523" s="4"/>
      <c r="J523" s="1"/>
    </row>
    <row r="524" spans="1:10" ht="15">
      <c r="A524" s="1"/>
      <c r="B524" s="2"/>
      <c r="C524" s="3"/>
      <c r="D524" s="3"/>
      <c r="E524" s="3"/>
      <c r="F524" s="3"/>
      <c r="G524" s="4"/>
      <c r="H524" s="4"/>
      <c r="I524" s="4"/>
      <c r="J524" s="1"/>
    </row>
    <row r="525" spans="1:10" ht="15">
      <c r="A525" s="1"/>
      <c r="B525" s="2"/>
      <c r="C525" s="3"/>
      <c r="D525" s="3"/>
      <c r="E525" s="3"/>
      <c r="F525" s="3"/>
      <c r="G525" s="4"/>
      <c r="H525" s="4"/>
      <c r="I525" s="4"/>
      <c r="J525" s="1"/>
    </row>
    <row r="526" spans="1:10" ht="15">
      <c r="A526" s="1"/>
      <c r="B526" s="2"/>
      <c r="C526" s="3"/>
      <c r="D526" s="3"/>
      <c r="E526" s="3"/>
      <c r="F526" s="3"/>
      <c r="G526" s="4"/>
      <c r="H526" s="4"/>
      <c r="I526" s="4"/>
      <c r="J526" s="1"/>
    </row>
    <row r="527" spans="1:10" ht="15">
      <c r="A527" s="1"/>
      <c r="B527" s="2"/>
      <c r="C527" s="3"/>
      <c r="D527" s="3"/>
      <c r="E527" s="3"/>
      <c r="F527" s="3"/>
      <c r="G527" s="4"/>
      <c r="H527" s="4"/>
      <c r="I527" s="4"/>
      <c r="J527" s="1"/>
    </row>
    <row r="528" spans="1:10" ht="15">
      <c r="A528" s="1"/>
      <c r="B528" s="2"/>
      <c r="C528" s="3"/>
      <c r="D528" s="3"/>
      <c r="E528" s="3"/>
      <c r="F528" s="3"/>
      <c r="G528" s="4"/>
      <c r="H528" s="4"/>
      <c r="I528" s="4"/>
      <c r="J528" s="1"/>
    </row>
    <row r="529" spans="1:10" ht="15">
      <c r="A529" s="1"/>
      <c r="B529" s="2"/>
      <c r="C529" s="3"/>
      <c r="D529" s="3"/>
      <c r="E529" s="3"/>
      <c r="F529" s="3"/>
      <c r="G529" s="4"/>
      <c r="H529" s="4"/>
      <c r="I529" s="4"/>
      <c r="J529" s="1"/>
    </row>
    <row r="530" spans="1:10" ht="15">
      <c r="A530" s="1"/>
      <c r="B530" s="2"/>
      <c r="C530" s="3"/>
      <c r="D530" s="3"/>
      <c r="E530" s="3"/>
      <c r="F530" s="3"/>
      <c r="G530" s="4"/>
      <c r="H530" s="4"/>
      <c r="I530" s="4"/>
      <c r="J530" s="1"/>
    </row>
    <row r="531" spans="1:10" ht="15">
      <c r="A531" s="1"/>
      <c r="B531" s="2"/>
      <c r="C531" s="3"/>
      <c r="D531" s="3"/>
      <c r="E531" s="3"/>
      <c r="F531" s="3"/>
      <c r="G531" s="4"/>
      <c r="H531" s="4"/>
      <c r="I531" s="4"/>
      <c r="J531" s="1"/>
    </row>
    <row r="532" spans="1:10" ht="15">
      <c r="A532" s="1"/>
      <c r="B532" s="2"/>
      <c r="C532" s="3"/>
      <c r="D532" s="3"/>
      <c r="E532" s="3"/>
      <c r="F532" s="3"/>
      <c r="G532" s="4"/>
      <c r="H532" s="4"/>
      <c r="I532" s="4"/>
      <c r="J532" s="1"/>
    </row>
    <row r="533" spans="1:10" ht="15">
      <c r="A533" s="1"/>
      <c r="B533" s="2"/>
      <c r="C533" s="3"/>
      <c r="D533" s="3"/>
      <c r="E533" s="3"/>
      <c r="F533" s="3"/>
      <c r="G533" s="4"/>
      <c r="H533" s="4"/>
      <c r="I533" s="4"/>
      <c r="J533" s="1"/>
    </row>
    <row r="534" spans="1:10" ht="15">
      <c r="A534" s="1"/>
      <c r="B534" s="2"/>
      <c r="C534" s="3"/>
      <c r="D534" s="3"/>
      <c r="E534" s="3"/>
      <c r="F534" s="3"/>
      <c r="G534" s="4"/>
      <c r="H534" s="4"/>
      <c r="I534" s="4"/>
      <c r="J534" s="1"/>
    </row>
    <row r="535" spans="1:10" ht="15">
      <c r="A535" s="1"/>
      <c r="B535" s="2"/>
      <c r="C535" s="3"/>
      <c r="D535" s="3"/>
      <c r="E535" s="3"/>
      <c r="F535" s="3"/>
      <c r="G535" s="4"/>
      <c r="H535" s="4"/>
      <c r="I535" s="4"/>
      <c r="J535" s="1"/>
    </row>
    <row r="536" spans="1:10" ht="15">
      <c r="A536" s="1"/>
      <c r="B536" s="2"/>
      <c r="C536" s="3"/>
      <c r="D536" s="3"/>
      <c r="E536" s="3"/>
      <c r="F536" s="3"/>
      <c r="G536" s="4"/>
      <c r="H536" s="4"/>
      <c r="I536" s="4"/>
      <c r="J536" s="1"/>
    </row>
    <row r="537" spans="1:10" ht="15">
      <c r="A537" s="1"/>
      <c r="B537" s="2"/>
      <c r="C537" s="3"/>
      <c r="D537" s="3"/>
      <c r="E537" s="3"/>
      <c r="F537" s="3"/>
      <c r="G537" s="4"/>
      <c r="H537" s="4"/>
      <c r="I537" s="4"/>
      <c r="J537" s="1"/>
    </row>
    <row r="538" spans="1:10" ht="15">
      <c r="A538" s="1"/>
      <c r="B538" s="2"/>
      <c r="C538" s="3"/>
      <c r="D538" s="3"/>
      <c r="E538" s="3"/>
      <c r="F538" s="3"/>
      <c r="G538" s="4"/>
      <c r="H538" s="4"/>
      <c r="I538" s="4"/>
      <c r="J538" s="1"/>
    </row>
    <row r="539" spans="1:10" ht="15">
      <c r="A539" s="1"/>
      <c r="B539" s="2"/>
      <c r="C539" s="3"/>
      <c r="D539" s="3"/>
      <c r="E539" s="3"/>
      <c r="F539" s="3"/>
      <c r="G539" s="4"/>
      <c r="H539" s="4"/>
      <c r="I539" s="4"/>
      <c r="J539" s="1"/>
    </row>
    <row r="540" spans="1:10" ht="15">
      <c r="A540" s="1"/>
      <c r="B540" s="2"/>
      <c r="C540" s="3"/>
      <c r="D540" s="3"/>
      <c r="E540" s="3"/>
      <c r="F540" s="3"/>
      <c r="G540" s="4"/>
      <c r="H540" s="4"/>
      <c r="I540" s="4"/>
      <c r="J540" s="1"/>
    </row>
    <row r="541" spans="1:10" ht="15">
      <c r="A541" s="1"/>
      <c r="B541" s="2"/>
      <c r="C541" s="3"/>
      <c r="D541" s="3"/>
      <c r="E541" s="3"/>
      <c r="F541" s="3"/>
      <c r="G541" s="4"/>
      <c r="H541" s="4"/>
      <c r="I541" s="4"/>
      <c r="J541" s="1"/>
    </row>
    <row r="542" spans="1:10" ht="15">
      <c r="A542" s="1"/>
      <c r="B542" s="2"/>
      <c r="C542" s="3"/>
      <c r="D542" s="3"/>
      <c r="E542" s="3"/>
      <c r="F542" s="3"/>
      <c r="G542" s="4"/>
      <c r="H542" s="4"/>
      <c r="I542" s="4"/>
      <c r="J542" s="1"/>
    </row>
    <row r="543" spans="1:10" ht="15">
      <c r="A543" s="1"/>
      <c r="B543" s="2"/>
      <c r="C543" s="3"/>
      <c r="D543" s="3"/>
      <c r="E543" s="3"/>
      <c r="F543" s="3"/>
      <c r="G543" s="4"/>
      <c r="H543" s="4"/>
      <c r="I543" s="4"/>
      <c r="J543" s="1"/>
    </row>
    <row r="544" spans="1:10" ht="15">
      <c r="A544" s="1"/>
      <c r="B544" s="2"/>
      <c r="C544" s="3"/>
      <c r="D544" s="3"/>
      <c r="E544" s="3"/>
      <c r="F544" s="3"/>
      <c r="G544" s="4"/>
      <c r="H544" s="4"/>
      <c r="I544" s="4"/>
      <c r="J544" s="1"/>
    </row>
    <row r="545" spans="1:10" ht="15">
      <c r="A545" s="1"/>
      <c r="B545" s="2"/>
      <c r="C545" s="3"/>
      <c r="D545" s="3"/>
      <c r="E545" s="3"/>
      <c r="F545" s="3"/>
      <c r="G545" s="4"/>
      <c r="H545" s="4"/>
      <c r="I545" s="4"/>
      <c r="J545" s="1"/>
    </row>
    <row r="546" spans="1:10" ht="15">
      <c r="A546" s="1"/>
      <c r="B546" s="2"/>
      <c r="C546" s="3"/>
      <c r="D546" s="3"/>
      <c r="E546" s="3"/>
      <c r="F546" s="3"/>
      <c r="G546" s="4"/>
      <c r="H546" s="4"/>
      <c r="I546" s="4"/>
      <c r="J546" s="1"/>
    </row>
    <row r="547" spans="1:10" ht="15">
      <c r="A547" s="1"/>
      <c r="B547" s="2"/>
      <c r="C547" s="3"/>
      <c r="D547" s="3"/>
      <c r="E547" s="3"/>
      <c r="F547" s="3"/>
      <c r="G547" s="4"/>
      <c r="H547" s="4"/>
      <c r="I547" s="4"/>
      <c r="J547" s="1"/>
    </row>
    <row r="548" spans="1:10" ht="15">
      <c r="A548" s="1"/>
      <c r="B548" s="2"/>
      <c r="C548" s="3"/>
      <c r="D548" s="3"/>
      <c r="E548" s="3"/>
      <c r="F548" s="3"/>
      <c r="G548" s="4"/>
      <c r="H548" s="4"/>
      <c r="I548" s="4"/>
      <c r="J548" s="1"/>
    </row>
    <row r="549" spans="1:10" ht="15">
      <c r="A549" s="1"/>
      <c r="B549" s="2"/>
      <c r="C549" s="3"/>
      <c r="D549" s="3"/>
      <c r="E549" s="3"/>
      <c r="F549" s="3"/>
      <c r="G549" s="4"/>
      <c r="H549" s="4"/>
      <c r="I549" s="4"/>
      <c r="J549" s="1"/>
    </row>
    <row r="550" spans="1:10" ht="15">
      <c r="A550" s="1"/>
      <c r="B550" s="2"/>
      <c r="C550" s="3"/>
      <c r="D550" s="3"/>
      <c r="E550" s="3"/>
      <c r="F550" s="3"/>
      <c r="G550" s="4"/>
      <c r="H550" s="4"/>
      <c r="I550" s="4"/>
      <c r="J550" s="1"/>
    </row>
    <row r="551" spans="1:10" ht="15">
      <c r="A551" s="1"/>
      <c r="B551" s="2"/>
      <c r="C551" s="3"/>
      <c r="D551" s="3"/>
      <c r="E551" s="3"/>
      <c r="F551" s="3"/>
      <c r="G551" s="4"/>
      <c r="H551" s="4"/>
      <c r="I551" s="4"/>
      <c r="J551" s="1"/>
    </row>
    <row r="552" spans="1:10" ht="15">
      <c r="A552" s="1"/>
      <c r="B552" s="2"/>
      <c r="C552" s="3"/>
      <c r="D552" s="3"/>
      <c r="E552" s="3"/>
      <c r="F552" s="3"/>
      <c r="G552" s="4"/>
      <c r="H552" s="4"/>
      <c r="I552" s="4"/>
      <c r="J552" s="1"/>
    </row>
    <row r="553" spans="1:10" ht="15">
      <c r="A553" s="1"/>
      <c r="B553" s="2"/>
      <c r="C553" s="3"/>
      <c r="D553" s="3"/>
      <c r="E553" s="3"/>
      <c r="F553" s="3"/>
      <c r="G553" s="4"/>
      <c r="H553" s="4"/>
      <c r="I553" s="4"/>
      <c r="J553" s="1"/>
    </row>
    <row r="554" spans="1:10" ht="15">
      <c r="A554" s="1"/>
      <c r="B554" s="2"/>
      <c r="C554" s="3"/>
      <c r="D554" s="3"/>
      <c r="E554" s="3"/>
      <c r="F554" s="3"/>
      <c r="G554" s="4"/>
      <c r="H554" s="4"/>
      <c r="I554" s="4"/>
      <c r="J554" s="1"/>
    </row>
    <row r="555" spans="1:10" ht="15">
      <c r="A555" s="1"/>
      <c r="B555" s="2"/>
      <c r="C555" s="3"/>
      <c r="D555" s="3"/>
      <c r="E555" s="3"/>
      <c r="F555" s="3"/>
      <c r="G555" s="4"/>
      <c r="H555" s="4"/>
      <c r="I555" s="4"/>
      <c r="J555" s="1"/>
    </row>
    <row r="556" spans="1:10" ht="15">
      <c r="A556" s="1"/>
      <c r="B556" s="2"/>
      <c r="C556" s="3"/>
      <c r="D556" s="3"/>
      <c r="E556" s="3"/>
      <c r="F556" s="3"/>
      <c r="G556" s="4"/>
      <c r="H556" s="4"/>
      <c r="I556" s="4"/>
      <c r="J556" s="1"/>
    </row>
    <row r="557" spans="1:10" ht="15">
      <c r="A557" s="1"/>
      <c r="B557" s="2"/>
      <c r="C557" s="3"/>
      <c r="D557" s="3"/>
      <c r="E557" s="3"/>
      <c r="F557" s="3"/>
      <c r="G557" s="4"/>
      <c r="H557" s="4"/>
      <c r="I557" s="4"/>
      <c r="J557" s="1"/>
    </row>
    <row r="558" spans="1:10" ht="15">
      <c r="A558" s="1"/>
      <c r="B558" s="2"/>
      <c r="C558" s="3"/>
      <c r="D558" s="3"/>
      <c r="E558" s="3"/>
      <c r="F558" s="3"/>
      <c r="G558" s="4"/>
      <c r="H558" s="4"/>
      <c r="I558" s="4"/>
      <c r="J558" s="1"/>
    </row>
    <row r="559" spans="1:10" ht="15">
      <c r="A559" s="1"/>
      <c r="B559" s="2"/>
      <c r="C559" s="3"/>
      <c r="D559" s="3"/>
      <c r="E559" s="3"/>
      <c r="F559" s="3"/>
      <c r="G559" s="4"/>
      <c r="H559" s="4"/>
      <c r="I559" s="4"/>
      <c r="J559" s="1"/>
    </row>
    <row r="560" spans="1:10" ht="15">
      <c r="A560" s="1"/>
      <c r="B560" s="2"/>
      <c r="C560" s="3"/>
      <c r="D560" s="3"/>
      <c r="E560" s="3"/>
      <c r="F560" s="3"/>
      <c r="G560" s="4"/>
      <c r="H560" s="4"/>
      <c r="I560" s="4"/>
      <c r="J560" s="1"/>
    </row>
    <row r="561" spans="1:10" ht="15">
      <c r="A561" s="1"/>
      <c r="B561" s="2"/>
      <c r="C561" s="3"/>
      <c r="D561" s="3"/>
      <c r="E561" s="3"/>
      <c r="F561" s="3"/>
      <c r="G561" s="4"/>
      <c r="H561" s="4"/>
      <c r="I561" s="4"/>
      <c r="J561" s="1"/>
    </row>
    <row r="562" spans="1:10" ht="15">
      <c r="A562" s="1"/>
      <c r="B562" s="2"/>
      <c r="C562" s="3"/>
      <c r="D562" s="3"/>
      <c r="E562" s="3"/>
      <c r="F562" s="3"/>
      <c r="G562" s="4"/>
      <c r="H562" s="4"/>
      <c r="I562" s="4"/>
      <c r="J562" s="1"/>
    </row>
    <row r="563" spans="1:10" ht="15">
      <c r="A563" s="1"/>
      <c r="B563" s="2"/>
      <c r="C563" s="3"/>
      <c r="D563" s="3"/>
      <c r="E563" s="3"/>
      <c r="F563" s="3"/>
      <c r="G563" s="4"/>
      <c r="H563" s="4"/>
      <c r="I563" s="4"/>
      <c r="J563" s="1"/>
    </row>
    <row r="564" spans="1:10" ht="15">
      <c r="A564" s="1"/>
      <c r="B564" s="2"/>
      <c r="C564" s="3"/>
      <c r="D564" s="3"/>
      <c r="E564" s="3"/>
      <c r="F564" s="3"/>
      <c r="G564" s="4"/>
      <c r="H564" s="4"/>
      <c r="I564" s="4"/>
      <c r="J564" s="1"/>
    </row>
    <row r="565" spans="1:10" ht="15">
      <c r="A565" s="1"/>
      <c r="B565" s="2"/>
      <c r="C565" s="3"/>
      <c r="D565" s="3"/>
      <c r="E565" s="3"/>
      <c r="F565" s="3"/>
      <c r="G565" s="4"/>
      <c r="H565" s="4"/>
      <c r="I565" s="4"/>
      <c r="J565" s="1"/>
    </row>
    <row r="566" spans="1:10" ht="15">
      <c r="A566" s="1"/>
      <c r="B566" s="2"/>
      <c r="C566" s="3"/>
      <c r="D566" s="3"/>
      <c r="E566" s="3"/>
      <c r="F566" s="3"/>
      <c r="G566" s="4"/>
      <c r="H566" s="4"/>
      <c r="I566" s="4"/>
      <c r="J566" s="1"/>
    </row>
    <row r="567" spans="1:10" ht="15">
      <c r="A567" s="1"/>
      <c r="B567" s="2"/>
      <c r="C567" s="3"/>
      <c r="D567" s="3"/>
      <c r="E567" s="3"/>
      <c r="F567" s="3"/>
      <c r="G567" s="4"/>
      <c r="H567" s="4"/>
      <c r="I567" s="4"/>
      <c r="J567" s="1"/>
    </row>
    <row r="568" spans="1:10" ht="15">
      <c r="A568" s="1"/>
      <c r="B568" s="2"/>
      <c r="C568" s="3"/>
      <c r="D568" s="3"/>
      <c r="E568" s="3"/>
      <c r="F568" s="3"/>
      <c r="G568" s="4"/>
      <c r="H568" s="4"/>
      <c r="I568" s="4"/>
      <c r="J568" s="1"/>
    </row>
    <row r="569" spans="1:10" ht="15">
      <c r="A569" s="1"/>
      <c r="B569" s="2"/>
      <c r="C569" s="3"/>
      <c r="D569" s="3"/>
      <c r="E569" s="3"/>
      <c r="F569" s="3"/>
      <c r="G569" s="4"/>
      <c r="H569" s="4"/>
      <c r="I569" s="4"/>
      <c r="J569" s="1"/>
    </row>
    <row r="570" spans="1:10" ht="15">
      <c r="A570" s="1"/>
      <c r="B570" s="2"/>
      <c r="C570" s="3"/>
      <c r="D570" s="3"/>
      <c r="E570" s="3"/>
      <c r="F570" s="3"/>
      <c r="G570" s="4"/>
      <c r="H570" s="4"/>
      <c r="I570" s="4"/>
      <c r="J570" s="1"/>
    </row>
    <row r="571" spans="1:10" ht="15">
      <c r="A571" s="1"/>
      <c r="B571" s="2"/>
      <c r="C571" s="3"/>
      <c r="D571" s="3"/>
      <c r="E571" s="3"/>
      <c r="F571" s="3"/>
      <c r="G571" s="4"/>
      <c r="H571" s="4"/>
      <c r="I571" s="4"/>
      <c r="J571" s="1"/>
    </row>
    <row r="572" spans="1:10" ht="15">
      <c r="A572" s="1"/>
      <c r="B572" s="2"/>
      <c r="C572" s="3"/>
      <c r="D572" s="3"/>
      <c r="E572" s="3"/>
      <c r="F572" s="3"/>
      <c r="G572" s="4"/>
      <c r="H572" s="4"/>
      <c r="I572" s="4"/>
      <c r="J572" s="1"/>
    </row>
    <row r="573" spans="1:10" ht="15">
      <c r="A573" s="1"/>
      <c r="B573" s="2"/>
      <c r="C573" s="3"/>
      <c r="D573" s="3"/>
      <c r="E573" s="3"/>
      <c r="F573" s="3"/>
      <c r="G573" s="4"/>
      <c r="H573" s="4"/>
      <c r="I573" s="4"/>
      <c r="J573" s="1"/>
    </row>
    <row r="574" spans="1:10" ht="15">
      <c r="A574" s="1"/>
      <c r="B574" s="2"/>
      <c r="C574" s="3"/>
      <c r="D574" s="3"/>
      <c r="E574" s="3"/>
      <c r="F574" s="3"/>
      <c r="G574" s="4"/>
      <c r="H574" s="4"/>
      <c r="I574" s="4"/>
      <c r="J574" s="1"/>
    </row>
    <row r="575" spans="1:10" ht="15">
      <c r="A575" s="1"/>
      <c r="B575" s="2"/>
      <c r="C575" s="3"/>
      <c r="D575" s="3"/>
      <c r="E575" s="3"/>
      <c r="F575" s="3"/>
      <c r="G575" s="4"/>
      <c r="H575" s="4"/>
      <c r="I575" s="4"/>
      <c r="J575" s="1"/>
    </row>
    <row r="576" spans="1:10" ht="15">
      <c r="A576" s="1"/>
      <c r="B576" s="2"/>
      <c r="C576" s="3"/>
      <c r="D576" s="3"/>
      <c r="E576" s="3"/>
      <c r="F576" s="3"/>
      <c r="G576" s="4"/>
      <c r="H576" s="4"/>
      <c r="I576" s="4"/>
      <c r="J576" s="1"/>
    </row>
    <row r="577" spans="1:10" ht="15">
      <c r="A577" s="1"/>
      <c r="B577" s="2"/>
      <c r="C577" s="3"/>
      <c r="D577" s="3"/>
      <c r="E577" s="3"/>
      <c r="F577" s="3"/>
      <c r="G577" s="4"/>
      <c r="H577" s="4"/>
      <c r="I577" s="4"/>
      <c r="J577" s="1"/>
    </row>
    <row r="578" spans="1:10" ht="15">
      <c r="A578" s="1"/>
      <c r="B578" s="2"/>
      <c r="C578" s="3"/>
      <c r="D578" s="3"/>
      <c r="E578" s="3"/>
      <c r="F578" s="3"/>
      <c r="G578" s="4"/>
      <c r="H578" s="4"/>
      <c r="I578" s="4"/>
      <c r="J578" s="1"/>
    </row>
    <row r="579" spans="1:10" ht="15">
      <c r="A579" s="1"/>
      <c r="B579" s="2"/>
      <c r="C579" s="3"/>
      <c r="D579" s="3"/>
      <c r="E579" s="3"/>
      <c r="F579" s="3"/>
      <c r="G579" s="4"/>
      <c r="H579" s="4"/>
      <c r="I579" s="4"/>
      <c r="J579" s="1"/>
    </row>
    <row r="580" spans="1:10" ht="15">
      <c r="A580" s="1"/>
      <c r="B580" s="2"/>
      <c r="C580" s="3"/>
      <c r="D580" s="3"/>
      <c r="E580" s="3"/>
      <c r="F580" s="3"/>
      <c r="G580" s="4"/>
      <c r="H580" s="4"/>
      <c r="I580" s="4"/>
      <c r="J580" s="1"/>
    </row>
    <row r="581" spans="1:10" ht="15">
      <c r="A581" s="1"/>
      <c r="B581" s="2"/>
      <c r="C581" s="3"/>
      <c r="D581" s="3"/>
      <c r="E581" s="3"/>
      <c r="F581" s="3"/>
      <c r="G581" s="4"/>
      <c r="H581" s="4"/>
      <c r="I581" s="4"/>
      <c r="J581" s="1"/>
    </row>
    <row r="582" spans="1:10" ht="15">
      <c r="A582" s="1"/>
      <c r="B582" s="2"/>
      <c r="C582" s="3"/>
      <c r="D582" s="3"/>
      <c r="E582" s="3"/>
      <c r="F582" s="3"/>
      <c r="G582" s="4"/>
      <c r="H582" s="4"/>
      <c r="I582" s="4"/>
      <c r="J582" s="1"/>
    </row>
    <row r="583" spans="1:10" ht="15">
      <c r="A583" s="1"/>
      <c r="B583" s="2"/>
      <c r="C583" s="3"/>
      <c r="D583" s="3"/>
      <c r="E583" s="3"/>
      <c r="F583" s="3"/>
      <c r="G583" s="4"/>
      <c r="H583" s="4"/>
      <c r="I583" s="4"/>
      <c r="J583" s="1"/>
    </row>
    <row r="584" spans="1:10" ht="15">
      <c r="A584" s="1"/>
      <c r="B584" s="2"/>
      <c r="C584" s="3"/>
      <c r="D584" s="3"/>
      <c r="E584" s="3"/>
      <c r="F584" s="3"/>
      <c r="G584" s="4"/>
      <c r="H584" s="4"/>
      <c r="I584" s="4"/>
      <c r="J584" s="1"/>
    </row>
    <row r="585" spans="1:10" ht="15">
      <c r="A585" s="1"/>
      <c r="B585" s="2"/>
      <c r="C585" s="3"/>
      <c r="D585" s="3"/>
      <c r="E585" s="3"/>
      <c r="F585" s="3"/>
      <c r="G585" s="4"/>
      <c r="H585" s="4"/>
      <c r="I585" s="4"/>
      <c r="J585" s="1"/>
    </row>
    <row r="586" spans="1:10" ht="15">
      <c r="A586" s="1"/>
      <c r="B586" s="2"/>
      <c r="C586" s="3"/>
      <c r="D586" s="3"/>
      <c r="E586" s="3"/>
      <c r="F586" s="3"/>
      <c r="G586" s="4"/>
      <c r="H586" s="4"/>
      <c r="I586" s="4"/>
      <c r="J586" s="1"/>
    </row>
    <row r="587" spans="1:10" ht="15">
      <c r="A587" s="1"/>
      <c r="B587" s="2"/>
      <c r="C587" s="3"/>
      <c r="D587" s="3"/>
      <c r="E587" s="3"/>
      <c r="F587" s="3"/>
      <c r="G587" s="4"/>
      <c r="H587" s="4"/>
      <c r="I587" s="4"/>
      <c r="J587" s="1"/>
    </row>
    <row r="588" spans="1:10" ht="15">
      <c r="A588" s="1"/>
      <c r="B588" s="2"/>
      <c r="C588" s="3"/>
      <c r="D588" s="3"/>
      <c r="E588" s="3"/>
      <c r="F588" s="3"/>
      <c r="G588" s="4"/>
      <c r="H588" s="4"/>
      <c r="I588" s="4"/>
      <c r="J588" s="1"/>
    </row>
    <row r="589" spans="1:10" ht="15">
      <c r="A589" s="1"/>
      <c r="B589" s="2"/>
      <c r="C589" s="3"/>
      <c r="D589" s="3"/>
      <c r="E589" s="3"/>
      <c r="F589" s="3"/>
      <c r="G589" s="4"/>
      <c r="H589" s="4"/>
      <c r="I589" s="4"/>
      <c r="J589" s="1"/>
    </row>
    <row r="590" spans="1:10" ht="15">
      <c r="A590" s="1"/>
      <c r="B590" s="2"/>
      <c r="C590" s="3"/>
      <c r="D590" s="3"/>
      <c r="E590" s="3"/>
      <c r="F590" s="3"/>
      <c r="G590" s="4"/>
      <c r="H590" s="4"/>
      <c r="I590" s="4"/>
      <c r="J590" s="1"/>
    </row>
    <row r="591" spans="1:10" ht="15">
      <c r="A591" s="1"/>
      <c r="B591" s="2"/>
      <c r="C591" s="3"/>
      <c r="D591" s="3"/>
      <c r="E591" s="3"/>
      <c r="F591" s="3"/>
      <c r="G591" s="4"/>
      <c r="H591" s="4"/>
      <c r="I591" s="4"/>
      <c r="J591" s="1"/>
    </row>
    <row r="592" spans="1:10" ht="15">
      <c r="A592" s="1"/>
      <c r="B592" s="2"/>
      <c r="C592" s="3"/>
      <c r="D592" s="3"/>
      <c r="E592" s="3"/>
      <c r="F592" s="3"/>
      <c r="G592" s="4"/>
      <c r="H592" s="4"/>
      <c r="I592" s="4"/>
      <c r="J592" s="1"/>
    </row>
    <row r="593" spans="1:10" ht="15">
      <c r="A593" s="1"/>
      <c r="B593" s="2"/>
      <c r="C593" s="3"/>
      <c r="D593" s="3"/>
      <c r="E593" s="3"/>
      <c r="F593" s="3"/>
      <c r="G593" s="4"/>
      <c r="H593" s="4"/>
      <c r="I593" s="4"/>
      <c r="J593" s="1"/>
    </row>
    <row r="594" spans="1:10" ht="15">
      <c r="A594" s="1"/>
      <c r="B594" s="2"/>
      <c r="C594" s="3"/>
      <c r="D594" s="3"/>
      <c r="E594" s="3"/>
      <c r="F594" s="3"/>
      <c r="G594" s="4"/>
      <c r="H594" s="4"/>
      <c r="I594" s="4"/>
      <c r="J594" s="1"/>
    </row>
    <row r="595" spans="1:10" ht="15">
      <c r="A595" s="1"/>
      <c r="B595" s="2"/>
      <c r="C595" s="3"/>
      <c r="D595" s="3"/>
      <c r="E595" s="3"/>
      <c r="F595" s="3"/>
      <c r="G595" s="4"/>
      <c r="H595" s="4"/>
      <c r="I595" s="4"/>
      <c r="J595" s="1"/>
    </row>
    <row r="596" spans="1:10" ht="15">
      <c r="A596" s="1"/>
      <c r="B596" s="2"/>
      <c r="C596" s="3"/>
      <c r="D596" s="3"/>
      <c r="E596" s="3"/>
      <c r="F596" s="3"/>
      <c r="G596" s="4"/>
      <c r="H596" s="4"/>
      <c r="I596" s="4"/>
      <c r="J596" s="1"/>
    </row>
    <row r="597" spans="1:10" ht="15">
      <c r="A597" s="1"/>
      <c r="B597" s="2"/>
      <c r="C597" s="3"/>
      <c r="D597" s="3"/>
      <c r="E597" s="3"/>
      <c r="F597" s="3"/>
      <c r="G597" s="4"/>
      <c r="H597" s="4"/>
      <c r="I597" s="4"/>
      <c r="J597" s="1"/>
    </row>
    <row r="598" spans="1:10" ht="15">
      <c r="A598" s="1"/>
      <c r="B598" s="2"/>
      <c r="C598" s="3"/>
      <c r="D598" s="3"/>
      <c r="E598" s="3"/>
      <c r="F598" s="3"/>
      <c r="G598" s="4"/>
      <c r="H598" s="4"/>
      <c r="I598" s="4"/>
      <c r="J598" s="1"/>
    </row>
    <row r="599" spans="1:10" ht="15">
      <c r="A599" s="1"/>
      <c r="B599" s="2"/>
      <c r="C599" s="3"/>
      <c r="D599" s="3"/>
      <c r="E599" s="3"/>
      <c r="F599" s="3"/>
      <c r="G599" s="4"/>
      <c r="H599" s="4"/>
      <c r="I599" s="4"/>
      <c r="J599" s="1"/>
    </row>
    <row r="600" spans="1:10" ht="15">
      <c r="A600" s="1"/>
      <c r="B600" s="2"/>
      <c r="C600" s="3"/>
      <c r="D600" s="3"/>
      <c r="E600" s="3"/>
      <c r="F600" s="3"/>
      <c r="G600" s="4"/>
      <c r="H600" s="4"/>
      <c r="I600" s="4"/>
      <c r="J600" s="1"/>
    </row>
    <row r="601" spans="1:10" ht="15">
      <c r="A601" s="1"/>
      <c r="B601" s="2"/>
      <c r="C601" s="3"/>
      <c r="D601" s="3"/>
      <c r="E601" s="3"/>
      <c r="F601" s="3"/>
      <c r="G601" s="4"/>
      <c r="H601" s="4"/>
      <c r="I601" s="4"/>
      <c r="J601" s="1"/>
    </row>
    <row r="602" spans="1:10" ht="15">
      <c r="A602" s="1"/>
      <c r="B602" s="2"/>
      <c r="C602" s="3"/>
      <c r="D602" s="3"/>
      <c r="E602" s="3"/>
      <c r="F602" s="3"/>
      <c r="G602" s="4"/>
      <c r="H602" s="4"/>
      <c r="I602" s="4"/>
      <c r="J602" s="1"/>
    </row>
    <row r="603" spans="1:10" ht="15">
      <c r="A603" s="1"/>
      <c r="B603" s="2"/>
      <c r="C603" s="3"/>
      <c r="D603" s="3"/>
      <c r="E603" s="3"/>
      <c r="F603" s="3"/>
      <c r="G603" s="4"/>
      <c r="H603" s="4"/>
      <c r="I603" s="4"/>
      <c r="J603" s="1"/>
    </row>
    <row r="604" spans="1:10" ht="15">
      <c r="A604" s="1"/>
      <c r="B604" s="2"/>
      <c r="C604" s="3"/>
      <c r="D604" s="3"/>
      <c r="E604" s="3"/>
      <c r="F604" s="3"/>
      <c r="G604" s="4"/>
      <c r="H604" s="4"/>
      <c r="I604" s="4"/>
      <c r="J604" s="1"/>
    </row>
    <row r="605" spans="1:10" ht="15">
      <c r="A605" s="1"/>
      <c r="B605" s="2"/>
      <c r="C605" s="3"/>
      <c r="D605" s="3"/>
      <c r="E605" s="3"/>
      <c r="F605" s="3"/>
      <c r="G605" s="4"/>
      <c r="H605" s="4"/>
      <c r="I605" s="4"/>
      <c r="J605" s="1"/>
    </row>
    <row r="606" spans="1:10" ht="15">
      <c r="A606" s="1"/>
      <c r="B606" s="2"/>
      <c r="C606" s="3"/>
      <c r="D606" s="3"/>
      <c r="E606" s="3"/>
      <c r="F606" s="3"/>
      <c r="G606" s="4"/>
      <c r="H606" s="4"/>
      <c r="I606" s="4"/>
      <c r="J606" s="1"/>
    </row>
    <row r="607" spans="1:10" ht="15">
      <c r="A607" s="1"/>
      <c r="B607" s="2"/>
      <c r="C607" s="3"/>
      <c r="D607" s="3"/>
      <c r="E607" s="3"/>
      <c r="F607" s="3"/>
      <c r="G607" s="4"/>
      <c r="H607" s="4"/>
      <c r="I607" s="4"/>
      <c r="J607" s="1"/>
    </row>
    <row r="608" spans="1:10" ht="15">
      <c r="A608" s="1"/>
      <c r="B608" s="2"/>
      <c r="C608" s="3"/>
      <c r="D608" s="3"/>
      <c r="E608" s="3"/>
      <c r="F608" s="3"/>
      <c r="G608" s="4"/>
      <c r="H608" s="4"/>
      <c r="I608" s="4"/>
      <c r="J608" s="1"/>
    </row>
    <row r="609" spans="1:10" ht="15">
      <c r="A609" s="1"/>
      <c r="B609" s="2"/>
      <c r="C609" s="3"/>
      <c r="D609" s="3"/>
      <c r="E609" s="3"/>
      <c r="F609" s="3"/>
      <c r="G609" s="4"/>
      <c r="H609" s="4"/>
      <c r="I609" s="4"/>
      <c r="J609" s="1"/>
    </row>
    <row r="610" spans="1:10" ht="15">
      <c r="A610" s="1"/>
      <c r="B610" s="2"/>
      <c r="C610" s="3"/>
      <c r="D610" s="3"/>
      <c r="E610" s="3"/>
      <c r="F610" s="3"/>
      <c r="G610" s="4"/>
      <c r="H610" s="4"/>
      <c r="I610" s="4"/>
      <c r="J610" s="1"/>
    </row>
    <row r="611" spans="1:10" ht="15">
      <c r="A611" s="1"/>
      <c r="B611" s="2"/>
      <c r="C611" s="3"/>
      <c r="D611" s="3"/>
      <c r="E611" s="3"/>
      <c r="F611" s="3"/>
      <c r="G611" s="4"/>
      <c r="H611" s="4"/>
      <c r="I611" s="4"/>
      <c r="J611" s="1"/>
    </row>
    <row r="612" spans="1:10" ht="15">
      <c r="A612" s="1"/>
      <c r="B612" s="2"/>
      <c r="C612" s="3"/>
      <c r="D612" s="3"/>
      <c r="E612" s="3"/>
      <c r="F612" s="3"/>
      <c r="G612" s="4"/>
      <c r="H612" s="4"/>
      <c r="I612" s="4"/>
      <c r="J612" s="1"/>
    </row>
    <row r="613" spans="1:10" ht="15">
      <c r="A613" s="1"/>
      <c r="B613" s="2"/>
      <c r="C613" s="3"/>
      <c r="D613" s="3"/>
      <c r="E613" s="3"/>
      <c r="F613" s="3"/>
      <c r="G613" s="4"/>
      <c r="H613" s="4"/>
      <c r="I613" s="4"/>
      <c r="J613" s="1"/>
    </row>
    <row r="614" spans="1:10" ht="15">
      <c r="A614" s="1"/>
      <c r="B614" s="2"/>
      <c r="C614" s="3"/>
      <c r="D614" s="3"/>
      <c r="E614" s="3"/>
      <c r="F614" s="3"/>
      <c r="G614" s="4"/>
      <c r="H614" s="4"/>
      <c r="I614" s="4"/>
      <c r="J614" s="1"/>
    </row>
    <row r="615" spans="1:10" ht="15">
      <c r="A615" s="1"/>
      <c r="B615" s="2"/>
      <c r="C615" s="3"/>
      <c r="D615" s="3"/>
      <c r="E615" s="3"/>
      <c r="F615" s="3"/>
      <c r="G615" s="4"/>
      <c r="H615" s="4"/>
      <c r="I615" s="4"/>
      <c r="J615" s="1"/>
    </row>
    <row r="616" spans="1:10" ht="15">
      <c r="A616" s="1"/>
      <c r="B616" s="2"/>
      <c r="C616" s="3"/>
      <c r="D616" s="3"/>
      <c r="E616" s="3"/>
      <c r="F616" s="3"/>
      <c r="G616" s="4"/>
      <c r="H616" s="4"/>
      <c r="I616" s="4"/>
      <c r="J616" s="1"/>
    </row>
    <row r="617" spans="1:10" ht="15">
      <c r="A617" s="1"/>
      <c r="B617" s="2"/>
      <c r="C617" s="3"/>
      <c r="D617" s="3"/>
      <c r="E617" s="3"/>
      <c r="F617" s="3"/>
      <c r="G617" s="4"/>
      <c r="H617" s="4"/>
      <c r="I617" s="4"/>
      <c r="J617" s="1"/>
    </row>
    <row r="618" spans="1:10" ht="15">
      <c r="A618" s="1"/>
      <c r="B618" s="2"/>
      <c r="C618" s="3"/>
      <c r="D618" s="3"/>
      <c r="E618" s="3"/>
      <c r="F618" s="3"/>
      <c r="G618" s="4"/>
      <c r="H618" s="4"/>
      <c r="I618" s="4"/>
      <c r="J618" s="1"/>
    </row>
    <row r="619" spans="1:10" ht="15">
      <c r="A619" s="1"/>
      <c r="B619" s="2"/>
      <c r="C619" s="3"/>
      <c r="D619" s="3"/>
      <c r="E619" s="3"/>
      <c r="F619" s="3"/>
      <c r="G619" s="4"/>
      <c r="H619" s="4"/>
      <c r="I619" s="4"/>
      <c r="J619" s="1"/>
    </row>
    <row r="620" spans="1:10" ht="15">
      <c r="A620" s="1"/>
      <c r="B620" s="2"/>
      <c r="C620" s="3"/>
      <c r="D620" s="3"/>
      <c r="E620" s="3"/>
      <c r="F620" s="3"/>
      <c r="G620" s="4"/>
      <c r="H620" s="4"/>
      <c r="I620" s="4"/>
      <c r="J620" s="1"/>
    </row>
    <row r="621" spans="1:10" ht="15">
      <c r="A621" s="1"/>
      <c r="B621" s="2"/>
      <c r="C621" s="3"/>
      <c r="D621" s="3"/>
      <c r="E621" s="3"/>
      <c r="F621" s="3"/>
      <c r="G621" s="4"/>
      <c r="H621" s="4"/>
      <c r="I621" s="4"/>
      <c r="J621" s="1"/>
    </row>
    <row r="622" spans="1:10" ht="15">
      <c r="A622" s="1"/>
      <c r="B622" s="2"/>
      <c r="C622" s="3"/>
      <c r="D622" s="3"/>
      <c r="E622" s="3"/>
      <c r="F622" s="3"/>
      <c r="G622" s="4"/>
      <c r="H622" s="4"/>
      <c r="I622" s="4"/>
      <c r="J622" s="1"/>
    </row>
    <row r="623" spans="1:10" ht="15">
      <c r="A623" s="1"/>
      <c r="B623" s="2"/>
      <c r="C623" s="3"/>
      <c r="D623" s="3"/>
      <c r="E623" s="3"/>
      <c r="F623" s="3"/>
      <c r="G623" s="4"/>
      <c r="H623" s="4"/>
      <c r="I623" s="4"/>
      <c r="J623" s="1"/>
    </row>
    <row r="624" spans="1:10" ht="15">
      <c r="A624" s="1"/>
      <c r="B624" s="2"/>
      <c r="C624" s="3"/>
      <c r="D624" s="3"/>
      <c r="E624" s="3"/>
      <c r="F624" s="3"/>
      <c r="G624" s="4"/>
      <c r="H624" s="4"/>
      <c r="I624" s="4"/>
      <c r="J624" s="1"/>
    </row>
    <row r="625" spans="1:10" ht="15">
      <c r="A625" s="1"/>
      <c r="B625" s="2"/>
      <c r="C625" s="3"/>
      <c r="D625" s="3"/>
      <c r="E625" s="3"/>
      <c r="F625" s="3"/>
      <c r="G625" s="4"/>
      <c r="H625" s="4"/>
      <c r="I625" s="4"/>
      <c r="J625" s="1"/>
    </row>
    <row r="626" spans="1:10" ht="15">
      <c r="A626" s="1"/>
      <c r="B626" s="2"/>
      <c r="C626" s="3"/>
      <c r="D626" s="3"/>
      <c r="E626" s="3"/>
      <c r="F626" s="3"/>
      <c r="G626" s="4"/>
      <c r="H626" s="4"/>
      <c r="I626" s="4"/>
      <c r="J626" s="1"/>
    </row>
    <row r="627" spans="1:10" ht="15">
      <c r="A627" s="1"/>
      <c r="B627" s="2"/>
      <c r="C627" s="3"/>
      <c r="D627" s="3"/>
      <c r="E627" s="3"/>
      <c r="F627" s="3"/>
      <c r="G627" s="4"/>
      <c r="H627" s="4"/>
      <c r="I627" s="4"/>
      <c r="J627" s="1"/>
    </row>
    <row r="628" spans="1:10" ht="15">
      <c r="A628" s="1"/>
      <c r="B628" s="2"/>
      <c r="C628" s="3"/>
      <c r="D628" s="3"/>
      <c r="E628" s="3"/>
      <c r="F628" s="3"/>
      <c r="G628" s="4"/>
      <c r="H628" s="4"/>
      <c r="I628" s="4"/>
      <c r="J628" s="1"/>
    </row>
    <row r="629" spans="1:10" ht="15">
      <c r="A629" s="1"/>
      <c r="B629" s="2"/>
      <c r="C629" s="3"/>
      <c r="D629" s="3"/>
      <c r="E629" s="3"/>
      <c r="F629" s="3"/>
      <c r="G629" s="4"/>
      <c r="H629" s="4"/>
      <c r="I629" s="4"/>
      <c r="J629" s="1"/>
    </row>
    <row r="630" spans="1:10" ht="15">
      <c r="A630" s="1"/>
      <c r="B630" s="2"/>
      <c r="C630" s="3"/>
      <c r="D630" s="3"/>
      <c r="E630" s="3"/>
      <c r="F630" s="3"/>
      <c r="G630" s="4"/>
      <c r="H630" s="4"/>
      <c r="I630" s="4"/>
      <c r="J630" s="1"/>
    </row>
    <row r="631" spans="1:10" ht="15">
      <c r="A631" s="1"/>
      <c r="B631" s="2"/>
      <c r="C631" s="3"/>
      <c r="D631" s="3"/>
      <c r="E631" s="3"/>
      <c r="F631" s="3"/>
      <c r="G631" s="4"/>
      <c r="H631" s="4"/>
      <c r="I631" s="4"/>
      <c r="J631" s="1"/>
    </row>
    <row r="632" spans="1:10" ht="15">
      <c r="A632" s="1"/>
      <c r="B632" s="2"/>
      <c r="C632" s="3"/>
      <c r="D632" s="3"/>
      <c r="E632" s="3"/>
      <c r="F632" s="3"/>
      <c r="G632" s="4"/>
      <c r="H632" s="4"/>
      <c r="I632" s="4"/>
      <c r="J632" s="1"/>
    </row>
    <row r="633" spans="1:10" ht="15">
      <c r="A633" s="1"/>
      <c r="B633" s="2"/>
      <c r="C633" s="3"/>
      <c r="D633" s="3"/>
      <c r="E633" s="3"/>
      <c r="F633" s="3"/>
      <c r="G633" s="4"/>
      <c r="H633" s="4"/>
      <c r="I633" s="4"/>
      <c r="J633" s="1"/>
    </row>
    <row r="634" spans="1:10" ht="15">
      <c r="A634" s="1"/>
      <c r="B634" s="2"/>
      <c r="C634" s="3"/>
      <c r="D634" s="3"/>
      <c r="E634" s="3"/>
      <c r="F634" s="3"/>
      <c r="G634" s="4"/>
      <c r="H634" s="4"/>
      <c r="I634" s="4"/>
      <c r="J634" s="1"/>
    </row>
    <row r="635" spans="1:10" ht="15">
      <c r="A635" s="1"/>
      <c r="B635" s="2"/>
      <c r="C635" s="3"/>
      <c r="D635" s="3"/>
      <c r="E635" s="3"/>
      <c r="F635" s="3"/>
      <c r="G635" s="4"/>
      <c r="H635" s="4"/>
      <c r="I635" s="4"/>
      <c r="J635" s="1"/>
    </row>
    <row r="636" spans="1:10" ht="15">
      <c r="A636" s="1"/>
      <c r="B636" s="2"/>
      <c r="C636" s="3"/>
      <c r="D636" s="3"/>
      <c r="E636" s="3"/>
      <c r="F636" s="3"/>
      <c r="G636" s="4"/>
      <c r="H636" s="4"/>
      <c r="I636" s="4"/>
      <c r="J636" s="1"/>
    </row>
    <row r="637" spans="1:10" ht="15">
      <c r="A637" s="1"/>
      <c r="B637" s="2"/>
      <c r="C637" s="3"/>
      <c r="D637" s="3"/>
      <c r="E637" s="3"/>
      <c r="F637" s="3"/>
      <c r="G637" s="4"/>
      <c r="H637" s="4"/>
      <c r="I637" s="4"/>
      <c r="J637" s="1"/>
    </row>
    <row r="638" spans="1:10" ht="15">
      <c r="A638" s="1"/>
      <c r="B638" s="2"/>
      <c r="C638" s="3"/>
      <c r="D638" s="3"/>
      <c r="E638" s="3"/>
      <c r="F638" s="3"/>
      <c r="G638" s="4"/>
      <c r="H638" s="4"/>
      <c r="I638" s="4"/>
      <c r="J638" s="1"/>
    </row>
    <row r="639" spans="1:10" ht="15">
      <c r="A639" s="1"/>
      <c r="B639" s="2"/>
      <c r="C639" s="3"/>
      <c r="D639" s="3"/>
      <c r="E639" s="3"/>
      <c r="F639" s="3"/>
      <c r="G639" s="4"/>
      <c r="H639" s="4"/>
      <c r="I639" s="4"/>
      <c r="J639" s="1"/>
    </row>
    <row r="640" spans="1:10" ht="15">
      <c r="A640" s="1"/>
      <c r="B640" s="2"/>
      <c r="C640" s="3"/>
      <c r="D640" s="3"/>
      <c r="E640" s="3"/>
      <c r="F640" s="3"/>
      <c r="G640" s="4"/>
      <c r="H640" s="4"/>
      <c r="I640" s="4"/>
      <c r="J640" s="1"/>
    </row>
    <row r="641" spans="1:10" ht="15">
      <c r="A641" s="1"/>
      <c r="B641" s="2"/>
      <c r="C641" s="3"/>
      <c r="D641" s="3"/>
      <c r="E641" s="3"/>
      <c r="F641" s="3"/>
      <c r="G641" s="4"/>
      <c r="H641" s="4"/>
      <c r="I641" s="4"/>
      <c r="J641" s="1"/>
    </row>
    <row r="642" spans="1:10" ht="15">
      <c r="A642" s="1"/>
      <c r="B642" s="2"/>
      <c r="C642" s="3"/>
      <c r="D642" s="3"/>
      <c r="E642" s="3"/>
      <c r="F642" s="3"/>
      <c r="G642" s="4"/>
      <c r="H642" s="4"/>
      <c r="I642" s="4"/>
      <c r="J642" s="1"/>
    </row>
    <row r="643" spans="1:10" ht="15">
      <c r="A643" s="1"/>
      <c r="B643" s="2"/>
      <c r="C643" s="3"/>
      <c r="D643" s="3"/>
      <c r="E643" s="3"/>
      <c r="F643" s="3"/>
      <c r="G643" s="4"/>
      <c r="H643" s="4"/>
      <c r="I643" s="4"/>
      <c r="J643" s="1"/>
    </row>
    <row r="644" spans="1:10" ht="15">
      <c r="A644" s="1"/>
      <c r="B644" s="2"/>
      <c r="C644" s="3"/>
      <c r="D644" s="3"/>
      <c r="E644" s="3"/>
      <c r="F644" s="3"/>
      <c r="G644" s="4"/>
      <c r="H644" s="4"/>
      <c r="I644" s="4"/>
      <c r="J644" s="1"/>
    </row>
    <row r="645" spans="1:10" ht="15">
      <c r="A645" s="1"/>
      <c r="B645" s="2"/>
      <c r="C645" s="3"/>
      <c r="D645" s="3"/>
      <c r="E645" s="3"/>
      <c r="F645" s="3"/>
      <c r="G645" s="4"/>
      <c r="H645" s="4"/>
      <c r="I645" s="4"/>
      <c r="J645" s="1"/>
    </row>
    <row r="646" spans="1:10" ht="15">
      <c r="A646" s="1"/>
      <c r="B646" s="2"/>
      <c r="C646" s="3"/>
      <c r="D646" s="3"/>
      <c r="E646" s="3"/>
      <c r="F646" s="3"/>
      <c r="G646" s="4"/>
      <c r="H646" s="4"/>
      <c r="I646" s="4"/>
      <c r="J646" s="1"/>
    </row>
    <row r="647" spans="1:10" ht="15">
      <c r="A647" s="1"/>
      <c r="B647" s="2"/>
      <c r="C647" s="3"/>
      <c r="D647" s="3"/>
      <c r="E647" s="3"/>
      <c r="F647" s="3"/>
      <c r="G647" s="4"/>
      <c r="H647" s="4"/>
      <c r="I647" s="4"/>
      <c r="J647" s="1"/>
    </row>
    <row r="648" spans="1:10" ht="15">
      <c r="A648" s="1"/>
      <c r="B648" s="2"/>
      <c r="C648" s="3"/>
      <c r="D648" s="3"/>
      <c r="E648" s="3"/>
      <c r="F648" s="3"/>
      <c r="G648" s="4"/>
      <c r="H648" s="4"/>
      <c r="I648" s="4"/>
      <c r="J648" s="1"/>
    </row>
    <row r="649" spans="1:10" ht="15">
      <c r="A649" s="1"/>
      <c r="B649" s="2"/>
      <c r="C649" s="3"/>
      <c r="D649" s="3"/>
      <c r="E649" s="3"/>
      <c r="F649" s="3"/>
      <c r="G649" s="4"/>
      <c r="H649" s="4"/>
      <c r="I649" s="4"/>
      <c r="J649" s="1"/>
    </row>
    <row r="650" spans="1:10" ht="15">
      <c r="A650" s="1"/>
      <c r="B650" s="2"/>
      <c r="C650" s="3"/>
      <c r="D650" s="3"/>
      <c r="E650" s="3"/>
      <c r="F650" s="3"/>
      <c r="G650" s="4"/>
      <c r="H650" s="4"/>
      <c r="I650" s="4"/>
      <c r="J650" s="1"/>
    </row>
    <row r="651" spans="1:10" ht="15">
      <c r="A651" s="1"/>
      <c r="B651" s="2"/>
      <c r="C651" s="3"/>
      <c r="D651" s="3"/>
      <c r="E651" s="3"/>
      <c r="F651" s="3"/>
      <c r="G651" s="4"/>
      <c r="H651" s="4"/>
      <c r="I651" s="4"/>
      <c r="J651" s="1"/>
    </row>
    <row r="652" spans="1:10" ht="15">
      <c r="A652" s="1"/>
      <c r="B652" s="2"/>
      <c r="C652" s="3"/>
      <c r="D652" s="3"/>
      <c r="E652" s="3"/>
      <c r="F652" s="3"/>
      <c r="G652" s="4"/>
      <c r="H652" s="4"/>
      <c r="I652" s="4"/>
      <c r="J652" s="1"/>
    </row>
    <row r="653" spans="1:10" ht="15">
      <c r="A653" s="1"/>
      <c r="B653" s="2"/>
      <c r="C653" s="3"/>
      <c r="D653" s="3"/>
      <c r="E653" s="3"/>
      <c r="F653" s="3"/>
      <c r="G653" s="4"/>
      <c r="H653" s="4"/>
      <c r="I653" s="4"/>
      <c r="J653" s="1"/>
    </row>
    <row r="654" spans="1:10" ht="15">
      <c r="A654" s="1"/>
      <c r="B654" s="2"/>
      <c r="C654" s="3"/>
      <c r="D654" s="3"/>
      <c r="E654" s="3"/>
      <c r="F654" s="3"/>
      <c r="G654" s="4"/>
      <c r="H654" s="4"/>
      <c r="I654" s="4"/>
      <c r="J654" s="1"/>
    </row>
    <row r="655" spans="1:10" ht="15">
      <c r="A655" s="1"/>
      <c r="B655" s="2"/>
      <c r="C655" s="3"/>
      <c r="D655" s="3"/>
      <c r="E655" s="3"/>
      <c r="F655" s="3"/>
      <c r="G655" s="4"/>
      <c r="H655" s="4"/>
      <c r="I655" s="4"/>
      <c r="J655" s="1"/>
    </row>
    <row r="656" spans="1:10" ht="15">
      <c r="A656" s="1"/>
      <c r="B656" s="2"/>
      <c r="C656" s="3"/>
      <c r="D656" s="3"/>
      <c r="E656" s="3"/>
      <c r="F656" s="3"/>
      <c r="G656" s="4"/>
      <c r="H656" s="4"/>
      <c r="I656" s="4"/>
      <c r="J656" s="1"/>
    </row>
    <row r="657" spans="1:10" ht="15">
      <c r="A657" s="1"/>
      <c r="B657" s="2"/>
      <c r="C657" s="3"/>
      <c r="D657" s="3"/>
      <c r="E657" s="3"/>
      <c r="F657" s="3"/>
      <c r="G657" s="4"/>
      <c r="H657" s="4"/>
      <c r="I657" s="4"/>
      <c r="J657" s="1"/>
    </row>
    <row r="658" spans="1:10" ht="15">
      <c r="A658" s="1"/>
      <c r="B658" s="2"/>
      <c r="C658" s="3"/>
      <c r="D658" s="3"/>
      <c r="E658" s="3"/>
      <c r="F658" s="3"/>
      <c r="G658" s="4"/>
      <c r="H658" s="4"/>
      <c r="I658" s="4"/>
      <c r="J658" s="1"/>
    </row>
    <row r="659" spans="1:10" ht="15">
      <c r="A659" s="1"/>
      <c r="B659" s="2"/>
      <c r="C659" s="3"/>
      <c r="D659" s="3"/>
      <c r="E659" s="3"/>
      <c r="F659" s="3"/>
      <c r="G659" s="4"/>
      <c r="H659" s="4"/>
      <c r="I659" s="4"/>
      <c r="J659" s="1"/>
    </row>
    <row r="660" spans="1:10" ht="15">
      <c r="A660" s="1"/>
      <c r="B660" s="2"/>
      <c r="C660" s="3"/>
      <c r="D660" s="3"/>
      <c r="E660" s="3"/>
      <c r="F660" s="3"/>
      <c r="G660" s="4"/>
      <c r="H660" s="4"/>
      <c r="I660" s="4"/>
      <c r="J660" s="1"/>
    </row>
    <row r="661" spans="1:10" ht="15">
      <c r="A661" s="1"/>
      <c r="B661" s="2"/>
      <c r="C661" s="3"/>
      <c r="D661" s="3"/>
      <c r="E661" s="3"/>
      <c r="F661" s="3"/>
      <c r="G661" s="4"/>
      <c r="H661" s="4"/>
      <c r="I661" s="4"/>
      <c r="J661" s="1"/>
    </row>
    <row r="662" spans="1:10" ht="15">
      <c r="A662" s="1"/>
      <c r="B662" s="2"/>
      <c r="C662" s="3"/>
      <c r="D662" s="3"/>
      <c r="E662" s="3"/>
      <c r="F662" s="3"/>
      <c r="G662" s="4"/>
      <c r="H662" s="4"/>
      <c r="I662" s="4"/>
      <c r="J662" s="1"/>
    </row>
    <row r="663" spans="1:10" ht="15">
      <c r="A663" s="1"/>
      <c r="B663" s="2"/>
      <c r="C663" s="3"/>
      <c r="D663" s="3"/>
      <c r="E663" s="3"/>
      <c r="F663" s="3"/>
      <c r="G663" s="4"/>
      <c r="H663" s="4"/>
      <c r="I663" s="4"/>
      <c r="J663" s="1"/>
    </row>
    <row r="664" spans="1:10" ht="15">
      <c r="A664" s="1"/>
      <c r="B664" s="2"/>
      <c r="C664" s="3"/>
      <c r="D664" s="3"/>
      <c r="E664" s="3"/>
      <c r="F664" s="3"/>
      <c r="G664" s="4"/>
      <c r="H664" s="4"/>
      <c r="I664" s="4"/>
      <c r="J664" s="1"/>
    </row>
    <row r="665" spans="1:10" ht="15">
      <c r="A665" s="1"/>
      <c r="B665" s="2"/>
      <c r="C665" s="3"/>
      <c r="D665" s="3"/>
      <c r="E665" s="3"/>
      <c r="F665" s="3"/>
      <c r="G665" s="4"/>
      <c r="H665" s="4"/>
      <c r="I665" s="4"/>
      <c r="J665" s="1"/>
    </row>
    <row r="666" spans="1:10" ht="15">
      <c r="A666" s="1"/>
      <c r="B666" s="2"/>
      <c r="C666" s="3"/>
      <c r="D666" s="3"/>
      <c r="E666" s="3"/>
      <c r="F666" s="3"/>
      <c r="G666" s="4"/>
      <c r="H666" s="4"/>
      <c r="I666" s="4"/>
      <c r="J666" s="1"/>
    </row>
    <row r="667" spans="1:10" ht="15">
      <c r="A667" s="1"/>
      <c r="B667" s="2"/>
      <c r="C667" s="3"/>
      <c r="D667" s="3"/>
      <c r="E667" s="3"/>
      <c r="F667" s="3"/>
      <c r="G667" s="4"/>
      <c r="H667" s="4"/>
      <c r="I667" s="4"/>
      <c r="J667" s="1"/>
    </row>
    <row r="668" spans="1:10" ht="15">
      <c r="A668" s="1"/>
      <c r="B668" s="2"/>
      <c r="C668" s="3"/>
      <c r="D668" s="3"/>
      <c r="E668" s="3"/>
      <c r="F668" s="3"/>
      <c r="G668" s="4"/>
      <c r="H668" s="4"/>
      <c r="I668" s="4"/>
      <c r="J668" s="1"/>
    </row>
    <row r="669" spans="1:10" ht="15">
      <c r="A669" s="1"/>
      <c r="B669" s="2"/>
      <c r="C669" s="3"/>
      <c r="D669" s="3"/>
      <c r="E669" s="3"/>
      <c r="F669" s="3"/>
      <c r="G669" s="4"/>
      <c r="H669" s="4"/>
      <c r="I669" s="4"/>
      <c r="J669" s="1"/>
    </row>
    <row r="670" spans="1:10" ht="15">
      <c r="A670" s="1"/>
      <c r="B670" s="2"/>
      <c r="C670" s="3"/>
      <c r="D670" s="3"/>
      <c r="E670" s="3"/>
      <c r="F670" s="3"/>
      <c r="G670" s="4"/>
      <c r="H670" s="4"/>
      <c r="I670" s="4"/>
      <c r="J670" s="1"/>
    </row>
    <row r="671" spans="1:10" ht="15">
      <c r="A671" s="1"/>
      <c r="B671" s="2"/>
      <c r="C671" s="3"/>
      <c r="D671" s="3"/>
      <c r="E671" s="3"/>
      <c r="F671" s="3"/>
      <c r="G671" s="4"/>
      <c r="H671" s="4"/>
      <c r="I671" s="4"/>
      <c r="J671" s="1"/>
    </row>
    <row r="672" spans="1:10" ht="15">
      <c r="A672" s="1"/>
      <c r="B672" s="2"/>
      <c r="C672" s="3"/>
      <c r="D672" s="3"/>
      <c r="E672" s="3"/>
      <c r="F672" s="3"/>
      <c r="G672" s="4"/>
      <c r="H672" s="4"/>
      <c r="I672" s="4"/>
      <c r="J672" s="1"/>
    </row>
    <row r="673" spans="1:10" ht="15">
      <c r="A673" s="1"/>
      <c r="B673" s="2"/>
      <c r="C673" s="3"/>
      <c r="D673" s="3"/>
      <c r="E673" s="3"/>
      <c r="F673" s="3"/>
      <c r="G673" s="4"/>
      <c r="H673" s="4"/>
      <c r="I673" s="4"/>
      <c r="J673" s="1"/>
    </row>
    <row r="674" spans="1:10" ht="15">
      <c r="A674" s="1"/>
      <c r="B674" s="2"/>
      <c r="C674" s="3"/>
      <c r="D674" s="3"/>
      <c r="E674" s="3"/>
      <c r="F674" s="3"/>
      <c r="G674" s="4"/>
      <c r="H674" s="4"/>
      <c r="I674" s="4"/>
      <c r="J674" s="1"/>
    </row>
    <row r="675" spans="1:10" ht="15">
      <c r="A675" s="1"/>
      <c r="B675" s="2"/>
      <c r="C675" s="3"/>
      <c r="D675" s="3"/>
      <c r="E675" s="3"/>
      <c r="F675" s="3"/>
      <c r="G675" s="4"/>
      <c r="H675" s="4"/>
      <c r="I675" s="4"/>
      <c r="J675" s="1"/>
    </row>
    <row r="676" spans="1:10" ht="15">
      <c r="A676" s="1"/>
      <c r="B676" s="2"/>
      <c r="C676" s="3"/>
      <c r="D676" s="3"/>
      <c r="E676" s="3"/>
      <c r="F676" s="3"/>
      <c r="G676" s="4"/>
      <c r="H676" s="4"/>
      <c r="I676" s="4"/>
      <c r="J676" s="1"/>
    </row>
    <row r="677" spans="1:10" ht="15">
      <c r="A677" s="1"/>
      <c r="B677" s="2"/>
      <c r="C677" s="3"/>
      <c r="D677" s="3"/>
      <c r="E677" s="3"/>
      <c r="F677" s="3"/>
      <c r="G677" s="4"/>
      <c r="H677" s="4"/>
      <c r="I677" s="4"/>
      <c r="J677" s="1"/>
    </row>
    <row r="678" spans="1:10" ht="15">
      <c r="A678" s="1"/>
      <c r="B678" s="2"/>
      <c r="C678" s="3"/>
      <c r="D678" s="3"/>
      <c r="E678" s="3"/>
      <c r="F678" s="3"/>
      <c r="G678" s="4"/>
      <c r="H678" s="4"/>
      <c r="I678" s="4"/>
      <c r="J678" s="1"/>
    </row>
    <row r="679" spans="1:10" ht="15">
      <c r="A679" s="1"/>
      <c r="B679" s="2"/>
      <c r="C679" s="3"/>
      <c r="D679" s="3"/>
      <c r="E679" s="3"/>
      <c r="F679" s="3"/>
      <c r="G679" s="4"/>
      <c r="H679" s="4"/>
      <c r="I679" s="4"/>
      <c r="J679" s="1"/>
    </row>
    <row r="680" spans="1:10" ht="15">
      <c r="A680" s="1"/>
      <c r="B680" s="2"/>
      <c r="C680" s="3"/>
      <c r="D680" s="3"/>
      <c r="E680" s="3"/>
      <c r="F680" s="3"/>
      <c r="G680" s="4"/>
      <c r="H680" s="4"/>
      <c r="I680" s="4"/>
      <c r="J680" s="1"/>
    </row>
    <row r="681" spans="1:10" ht="15">
      <c r="A681" s="1"/>
      <c r="B681" s="2"/>
      <c r="C681" s="3"/>
      <c r="D681" s="3"/>
      <c r="E681" s="3"/>
      <c r="F681" s="3"/>
      <c r="G681" s="4"/>
      <c r="H681" s="4"/>
      <c r="I681" s="4"/>
      <c r="J681" s="1"/>
    </row>
    <row r="682" spans="1:10" ht="15">
      <c r="A682" s="1"/>
      <c r="B682" s="2"/>
      <c r="C682" s="3"/>
      <c r="D682" s="3"/>
      <c r="E682" s="3"/>
      <c r="F682" s="3"/>
      <c r="G682" s="4"/>
      <c r="H682" s="4"/>
      <c r="I682" s="4"/>
      <c r="J682" s="1"/>
    </row>
    <row r="683" spans="1:10" ht="15">
      <c r="A683" s="1"/>
      <c r="B683" s="2"/>
      <c r="C683" s="3"/>
      <c r="D683" s="3"/>
      <c r="E683" s="3"/>
      <c r="F683" s="3"/>
      <c r="G683" s="4"/>
      <c r="H683" s="4"/>
      <c r="I683" s="4"/>
      <c r="J683" s="1"/>
    </row>
    <row r="684" spans="1:10" ht="15">
      <c r="A684" s="1"/>
      <c r="B684" s="2"/>
      <c r="C684" s="3"/>
      <c r="D684" s="3"/>
      <c r="E684" s="3"/>
      <c r="F684" s="3"/>
      <c r="G684" s="4"/>
      <c r="H684" s="4"/>
      <c r="I684" s="4"/>
      <c r="J684" s="1"/>
    </row>
    <row r="685" spans="1:10" ht="15">
      <c r="A685" s="1"/>
      <c r="B685" s="2"/>
      <c r="C685" s="3"/>
      <c r="D685" s="3"/>
      <c r="E685" s="3"/>
      <c r="F685" s="3"/>
      <c r="G685" s="4"/>
      <c r="H685" s="4"/>
      <c r="I685" s="4"/>
      <c r="J685" s="1"/>
    </row>
    <row r="686" spans="1:10" ht="15">
      <c r="A686" s="1"/>
      <c r="B686" s="2"/>
      <c r="C686" s="3"/>
      <c r="D686" s="3"/>
      <c r="E686" s="3"/>
      <c r="F686" s="3"/>
      <c r="G686" s="4"/>
      <c r="H686" s="4"/>
      <c r="I686" s="4"/>
      <c r="J686" s="1"/>
    </row>
    <row r="687" spans="1:10" ht="15">
      <c r="A687" s="1"/>
      <c r="B687" s="2"/>
      <c r="C687" s="3"/>
      <c r="D687" s="3"/>
      <c r="E687" s="3"/>
      <c r="F687" s="3"/>
      <c r="G687" s="4"/>
      <c r="H687" s="4"/>
      <c r="I687" s="4"/>
      <c r="J687" s="1"/>
    </row>
    <row r="688" spans="1:10" ht="15">
      <c r="A688" s="1"/>
      <c r="B688" s="2"/>
      <c r="C688" s="3"/>
      <c r="D688" s="3"/>
      <c r="E688" s="3"/>
      <c r="F688" s="3"/>
      <c r="G688" s="4"/>
      <c r="H688" s="4"/>
      <c r="I688" s="4"/>
      <c r="J688" s="1"/>
    </row>
    <row r="689" spans="1:10" ht="15">
      <c r="A689" s="1"/>
      <c r="B689" s="2"/>
      <c r="C689" s="3"/>
      <c r="D689" s="3"/>
      <c r="E689" s="3"/>
      <c r="F689" s="3"/>
      <c r="G689" s="4"/>
      <c r="H689" s="4"/>
      <c r="I689" s="4"/>
      <c r="J689" s="1"/>
    </row>
    <row r="690" spans="1:10" ht="15">
      <c r="A690" s="1"/>
      <c r="B690" s="2"/>
      <c r="C690" s="3"/>
      <c r="D690" s="3"/>
      <c r="E690" s="3"/>
      <c r="F690" s="3"/>
      <c r="G690" s="4"/>
      <c r="H690" s="4"/>
      <c r="I690" s="4"/>
      <c r="J690" s="1"/>
    </row>
    <row r="691" spans="1:10" ht="15">
      <c r="A691" s="1"/>
      <c r="B691" s="2"/>
      <c r="C691" s="3"/>
      <c r="D691" s="3"/>
      <c r="E691" s="3"/>
      <c r="F691" s="3"/>
      <c r="G691" s="4"/>
      <c r="H691" s="4"/>
      <c r="I691" s="4"/>
      <c r="J691" s="1"/>
    </row>
    <row r="692" spans="1:10" ht="15">
      <c r="A692" s="1"/>
      <c r="B692" s="2"/>
      <c r="C692" s="3"/>
      <c r="D692" s="3"/>
      <c r="E692" s="3"/>
      <c r="F692" s="3"/>
      <c r="G692" s="4"/>
      <c r="H692" s="4"/>
      <c r="I692" s="4"/>
      <c r="J692" s="1"/>
    </row>
    <row r="693" spans="1:10" ht="15">
      <c r="A693" s="1"/>
      <c r="B693" s="2"/>
      <c r="C693" s="3"/>
      <c r="D693" s="3"/>
      <c r="E693" s="3"/>
      <c r="F693" s="3"/>
      <c r="G693" s="4"/>
      <c r="H693" s="4"/>
      <c r="I693" s="4"/>
      <c r="J693" s="1"/>
    </row>
    <row r="694" spans="1:10" ht="15">
      <c r="A694" s="1"/>
      <c r="B694" s="2"/>
      <c r="C694" s="3"/>
      <c r="D694" s="3"/>
      <c r="E694" s="3"/>
      <c r="F694" s="3"/>
      <c r="G694" s="4"/>
      <c r="H694" s="4"/>
      <c r="I694" s="4"/>
      <c r="J694" s="1"/>
    </row>
    <row r="695" spans="1:10" ht="15">
      <c r="A695" s="1"/>
      <c r="B695" s="2"/>
      <c r="C695" s="3"/>
      <c r="D695" s="3"/>
      <c r="E695" s="3"/>
      <c r="F695" s="3"/>
      <c r="G695" s="4"/>
      <c r="H695" s="4"/>
      <c r="I695" s="4"/>
      <c r="J695" s="1"/>
    </row>
    <row r="696" spans="1:10" ht="15">
      <c r="A696" s="1"/>
      <c r="B696" s="2"/>
      <c r="C696" s="3"/>
      <c r="D696" s="3"/>
      <c r="E696" s="3"/>
      <c r="F696" s="3"/>
      <c r="G696" s="4"/>
      <c r="H696" s="4"/>
      <c r="I696" s="4"/>
      <c r="J696" s="1"/>
    </row>
    <row r="697" spans="1:10" ht="15">
      <c r="A697" s="1"/>
      <c r="B697" s="2"/>
      <c r="C697" s="3"/>
      <c r="D697" s="3"/>
      <c r="E697" s="3"/>
      <c r="F697" s="3"/>
      <c r="G697" s="4"/>
      <c r="H697" s="4"/>
      <c r="I697" s="4"/>
      <c r="J697" s="1"/>
    </row>
    <row r="698" spans="1:10" ht="15">
      <c r="A698" s="1"/>
      <c r="B698" s="2"/>
      <c r="C698" s="3"/>
      <c r="D698" s="3"/>
      <c r="E698" s="3"/>
      <c r="F698" s="3"/>
      <c r="G698" s="4"/>
      <c r="H698" s="4"/>
      <c r="I698" s="4"/>
      <c r="J698" s="1"/>
    </row>
    <row r="699" spans="1:10" ht="15">
      <c r="A699" s="1"/>
      <c r="B699" s="2"/>
      <c r="C699" s="3"/>
      <c r="D699" s="3"/>
      <c r="E699" s="3"/>
      <c r="F699" s="3"/>
      <c r="G699" s="4"/>
      <c r="H699" s="4"/>
      <c r="I699" s="4"/>
      <c r="J699" s="1"/>
    </row>
    <row r="700" spans="1:10" ht="15">
      <c r="A700" s="1"/>
      <c r="B700" s="2"/>
      <c r="C700" s="3"/>
      <c r="D700" s="3"/>
      <c r="E700" s="3"/>
      <c r="F700" s="3"/>
      <c r="G700" s="4"/>
      <c r="H700" s="4"/>
      <c r="I700" s="4"/>
      <c r="J700" s="1"/>
    </row>
    <row r="701" spans="1:10" ht="15">
      <c r="A701" s="1"/>
      <c r="B701" s="2"/>
      <c r="C701" s="3"/>
      <c r="D701" s="3"/>
      <c r="E701" s="3"/>
      <c r="F701" s="3"/>
      <c r="G701" s="4"/>
      <c r="H701" s="4"/>
      <c r="I701" s="4"/>
      <c r="J701" s="1"/>
    </row>
    <row r="702" spans="1:10" ht="15">
      <c r="A702" s="1"/>
      <c r="B702" s="2"/>
      <c r="C702" s="3"/>
      <c r="D702" s="3"/>
      <c r="E702" s="3"/>
      <c r="F702" s="3"/>
      <c r="G702" s="4"/>
      <c r="H702" s="4"/>
      <c r="I702" s="4"/>
      <c r="J702" s="1"/>
    </row>
    <row r="703" spans="1:10" ht="15">
      <c r="A703" s="1"/>
      <c r="B703" s="2"/>
      <c r="C703" s="3"/>
      <c r="D703" s="3"/>
      <c r="E703" s="3"/>
      <c r="F703" s="3"/>
      <c r="G703" s="4"/>
      <c r="H703" s="4"/>
      <c r="I703" s="4"/>
      <c r="J703" s="1"/>
    </row>
    <row r="704" spans="1:10" ht="15">
      <c r="A704" s="1"/>
      <c r="B704" s="2"/>
      <c r="C704" s="3"/>
      <c r="D704" s="3"/>
      <c r="E704" s="3"/>
      <c r="F704" s="3"/>
      <c r="G704" s="4"/>
      <c r="H704" s="4"/>
      <c r="I704" s="4"/>
      <c r="J704" s="1"/>
    </row>
    <row r="705" spans="1:10" ht="15">
      <c r="A705" s="1"/>
      <c r="B705" s="2"/>
      <c r="C705" s="3"/>
      <c r="D705" s="3"/>
      <c r="E705" s="3"/>
      <c r="F705" s="3"/>
      <c r="G705" s="4"/>
      <c r="H705" s="4"/>
      <c r="I705" s="4"/>
      <c r="J705" s="1"/>
    </row>
    <row r="706" spans="1:10" ht="15">
      <c r="A706" s="1"/>
      <c r="B706" s="2"/>
      <c r="C706" s="3"/>
      <c r="D706" s="3"/>
      <c r="E706" s="3"/>
      <c r="F706" s="3"/>
      <c r="G706" s="4"/>
      <c r="H706" s="4"/>
      <c r="I706" s="4"/>
      <c r="J706" s="1"/>
    </row>
    <row r="707" spans="1:10" ht="15">
      <c r="A707" s="1"/>
      <c r="B707" s="2"/>
      <c r="C707" s="3"/>
      <c r="D707" s="3"/>
      <c r="E707" s="3"/>
      <c r="F707" s="3"/>
      <c r="G707" s="4"/>
      <c r="H707" s="4"/>
      <c r="I707" s="4"/>
      <c r="J707" s="1"/>
    </row>
    <row r="708" spans="1:10" ht="15">
      <c r="A708" s="1"/>
      <c r="B708" s="2"/>
      <c r="C708" s="3"/>
      <c r="D708" s="3"/>
      <c r="E708" s="3"/>
      <c r="F708" s="3"/>
      <c r="G708" s="4"/>
      <c r="H708" s="4"/>
      <c r="I708" s="4"/>
      <c r="J708" s="1"/>
    </row>
    <row r="709" spans="1:10" ht="15">
      <c r="A709" s="1"/>
      <c r="B709" s="2"/>
      <c r="C709" s="3"/>
      <c r="D709" s="3"/>
      <c r="E709" s="3"/>
      <c r="F709" s="3"/>
      <c r="G709" s="4"/>
      <c r="H709" s="4"/>
      <c r="I709" s="4"/>
      <c r="J709" s="1"/>
    </row>
    <row r="710" spans="1:10" ht="15">
      <c r="A710" s="1"/>
      <c r="B710" s="2"/>
      <c r="C710" s="3"/>
      <c r="D710" s="3"/>
      <c r="E710" s="3"/>
      <c r="F710" s="3"/>
      <c r="G710" s="4"/>
      <c r="H710" s="4"/>
      <c r="I710" s="4"/>
      <c r="J710" s="1"/>
    </row>
    <row r="711" spans="1:10" ht="15">
      <c r="A711" s="1"/>
      <c r="B711" s="2"/>
      <c r="C711" s="3"/>
      <c r="D711" s="3"/>
      <c r="E711" s="3"/>
      <c r="F711" s="3"/>
      <c r="G711" s="4"/>
      <c r="H711" s="4"/>
      <c r="I711" s="4"/>
      <c r="J711" s="1"/>
    </row>
    <row r="712" spans="1:10" ht="15">
      <c r="A712" s="1"/>
      <c r="B712" s="2"/>
      <c r="C712" s="3"/>
      <c r="D712" s="3"/>
      <c r="E712" s="3"/>
      <c r="F712" s="3"/>
      <c r="G712" s="4"/>
      <c r="H712" s="4"/>
      <c r="I712" s="4"/>
      <c r="J712" s="1"/>
    </row>
    <row r="713" spans="1:10" ht="15">
      <c r="A713" s="1"/>
      <c r="B713" s="2"/>
      <c r="C713" s="3"/>
      <c r="D713" s="3"/>
      <c r="E713" s="3"/>
      <c r="F713" s="3"/>
      <c r="G713" s="4"/>
      <c r="H713" s="4"/>
      <c r="I713" s="4"/>
      <c r="J713" s="1"/>
    </row>
    <row r="714" spans="1:10" ht="15">
      <c r="A714" s="1"/>
      <c r="B714" s="2"/>
      <c r="C714" s="3"/>
      <c r="D714" s="3"/>
      <c r="E714" s="3"/>
      <c r="F714" s="3"/>
      <c r="G714" s="4"/>
      <c r="H714" s="4"/>
      <c r="I714" s="4"/>
      <c r="J714" s="1"/>
    </row>
    <row r="715" spans="1:10" ht="15">
      <c r="A715" s="1"/>
      <c r="B715" s="2"/>
      <c r="C715" s="3"/>
      <c r="D715" s="3"/>
      <c r="E715" s="3"/>
      <c r="F715" s="3"/>
      <c r="G715" s="4"/>
      <c r="H715" s="4"/>
      <c r="I715" s="4"/>
      <c r="J715" s="1"/>
    </row>
    <row r="716" spans="1:10" ht="15">
      <c r="A716" s="1"/>
      <c r="B716" s="2"/>
      <c r="C716" s="3"/>
      <c r="D716" s="3"/>
      <c r="E716" s="3"/>
      <c r="F716" s="3"/>
      <c r="G716" s="4"/>
      <c r="H716" s="4"/>
      <c r="I716" s="4"/>
      <c r="J716" s="1"/>
    </row>
    <row r="717" spans="1:10" ht="15">
      <c r="A717" s="1"/>
      <c r="B717" s="2"/>
      <c r="C717" s="3"/>
      <c r="D717" s="3"/>
      <c r="E717" s="3"/>
      <c r="F717" s="3"/>
      <c r="G717" s="4"/>
      <c r="H717" s="4"/>
      <c r="I717" s="4"/>
      <c r="J717" s="1"/>
    </row>
    <row r="718" spans="1:10" ht="15">
      <c r="A718" s="1"/>
      <c r="B718" s="2"/>
      <c r="C718" s="3"/>
      <c r="D718" s="3"/>
      <c r="E718" s="3"/>
      <c r="F718" s="3"/>
      <c r="G718" s="4"/>
      <c r="H718" s="4"/>
      <c r="I718" s="4"/>
      <c r="J718" s="1"/>
    </row>
    <row r="719" spans="1:10" ht="15">
      <c r="A719" s="1"/>
      <c r="B719" s="2"/>
      <c r="C719" s="3"/>
      <c r="D719" s="3"/>
      <c r="E719" s="3"/>
      <c r="F719" s="3"/>
      <c r="G719" s="4"/>
      <c r="H719" s="4"/>
      <c r="I719" s="4"/>
      <c r="J719" s="1"/>
    </row>
    <row r="720" spans="1:10" ht="15">
      <c r="A720" s="1"/>
      <c r="B720" s="2"/>
      <c r="C720" s="3"/>
      <c r="D720" s="3"/>
      <c r="E720" s="3"/>
      <c r="F720" s="3"/>
      <c r="G720" s="4"/>
      <c r="H720" s="4"/>
      <c r="I720" s="4"/>
      <c r="J720" s="1"/>
    </row>
    <row r="721" spans="1:10" ht="15">
      <c r="A721" s="1"/>
      <c r="B721" s="2"/>
      <c r="C721" s="3"/>
      <c r="D721" s="3"/>
      <c r="E721" s="3"/>
      <c r="F721" s="3"/>
      <c r="G721" s="4"/>
      <c r="H721" s="4"/>
      <c r="I721" s="4"/>
      <c r="J721" s="1"/>
    </row>
    <row r="722" spans="1:10" ht="15">
      <c r="A722" s="1"/>
      <c r="B722" s="2"/>
      <c r="C722" s="3"/>
      <c r="D722" s="3"/>
      <c r="E722" s="3"/>
      <c r="F722" s="3"/>
      <c r="G722" s="4"/>
      <c r="H722" s="4"/>
      <c r="I722" s="4"/>
      <c r="J722" s="1"/>
    </row>
    <row r="723" spans="1:10" ht="15">
      <c r="A723" s="1"/>
      <c r="B723" s="2"/>
      <c r="C723" s="3"/>
      <c r="D723" s="3"/>
      <c r="E723" s="3"/>
      <c r="F723" s="3"/>
      <c r="G723" s="4"/>
      <c r="H723" s="4"/>
      <c r="I723" s="4"/>
      <c r="J723" s="1"/>
    </row>
    <row r="724" spans="1:10" ht="15">
      <c r="A724" s="1"/>
      <c r="B724" s="2"/>
      <c r="C724" s="3"/>
      <c r="D724" s="3"/>
      <c r="E724" s="3"/>
      <c r="F724" s="3"/>
      <c r="G724" s="4"/>
      <c r="H724" s="4"/>
      <c r="I724" s="4"/>
      <c r="J724" s="1"/>
    </row>
    <row r="725" spans="1:10" ht="15">
      <c r="A725" s="1"/>
      <c r="B725" s="2"/>
      <c r="C725" s="3"/>
      <c r="D725" s="3"/>
      <c r="E725" s="3"/>
      <c r="F725" s="3"/>
      <c r="G725" s="4"/>
      <c r="H725" s="4"/>
      <c r="I725" s="4"/>
      <c r="J725" s="1"/>
    </row>
    <row r="726" spans="1:10" ht="15">
      <c r="A726" s="1"/>
      <c r="B726" s="2"/>
      <c r="C726" s="3"/>
      <c r="D726" s="3"/>
      <c r="E726" s="3"/>
      <c r="F726" s="3"/>
      <c r="G726" s="4"/>
      <c r="H726" s="4"/>
      <c r="I726" s="4"/>
      <c r="J726" s="1"/>
    </row>
    <row r="727" spans="1:10" ht="15">
      <c r="A727" s="1"/>
      <c r="B727" s="2"/>
      <c r="C727" s="3"/>
      <c r="D727" s="3"/>
      <c r="E727" s="3"/>
      <c r="F727" s="3"/>
      <c r="G727" s="4"/>
      <c r="H727" s="4"/>
      <c r="I727" s="4"/>
      <c r="J727" s="1"/>
    </row>
    <row r="728" spans="1:10" ht="15">
      <c r="A728" s="1"/>
      <c r="B728" s="2"/>
      <c r="C728" s="3"/>
      <c r="D728" s="3"/>
      <c r="E728" s="3"/>
      <c r="F728" s="3"/>
      <c r="G728" s="4"/>
      <c r="H728" s="4"/>
      <c r="I728" s="4"/>
      <c r="J728" s="1"/>
    </row>
    <row r="729" spans="1:10" ht="15">
      <c r="A729" s="1"/>
      <c r="B729" s="2"/>
      <c r="C729" s="3"/>
      <c r="D729" s="3"/>
      <c r="E729" s="3"/>
      <c r="F729" s="3"/>
      <c r="G729" s="4"/>
      <c r="H729" s="4"/>
      <c r="I729" s="4"/>
      <c r="J729" s="1"/>
    </row>
    <row r="730" spans="1:10" ht="15">
      <c r="A730" s="1"/>
      <c r="B730" s="2"/>
      <c r="C730" s="3"/>
      <c r="D730" s="3"/>
      <c r="E730" s="3"/>
      <c r="F730" s="3"/>
      <c r="G730" s="4"/>
      <c r="H730" s="4"/>
      <c r="I730" s="4"/>
      <c r="J730" s="1"/>
    </row>
    <row r="731" spans="1:10" ht="15">
      <c r="A731" s="1"/>
      <c r="B731" s="2"/>
      <c r="C731" s="3"/>
      <c r="D731" s="3"/>
      <c r="E731" s="3"/>
      <c r="F731" s="3"/>
      <c r="G731" s="4"/>
      <c r="H731" s="4"/>
      <c r="I731" s="4"/>
      <c r="J731" s="1"/>
    </row>
    <row r="732" spans="1:10" ht="15">
      <c r="A732" s="1"/>
      <c r="B732" s="2"/>
      <c r="C732" s="3"/>
      <c r="D732" s="3"/>
      <c r="E732" s="3"/>
      <c r="F732" s="3"/>
      <c r="G732" s="4"/>
      <c r="H732" s="4"/>
      <c r="I732" s="4"/>
      <c r="J732" s="1"/>
    </row>
    <row r="733" spans="1:10" ht="15">
      <c r="A733" s="1"/>
      <c r="B733" s="2"/>
      <c r="C733" s="3"/>
      <c r="D733" s="3"/>
      <c r="E733" s="3"/>
      <c r="F733" s="3"/>
      <c r="G733" s="4"/>
      <c r="H733" s="4"/>
      <c r="I733" s="4"/>
      <c r="J733" s="1"/>
    </row>
    <row r="734" spans="1:10" ht="15">
      <c r="A734" s="1"/>
      <c r="B734" s="2"/>
      <c r="C734" s="3"/>
      <c r="D734" s="3"/>
      <c r="E734" s="3"/>
      <c r="F734" s="3"/>
      <c r="G734" s="4"/>
      <c r="H734" s="4"/>
      <c r="I734" s="4"/>
      <c r="J734" s="1"/>
    </row>
    <row r="735" spans="1:10" ht="15">
      <c r="A735" s="1"/>
      <c r="B735" s="2"/>
      <c r="C735" s="3"/>
      <c r="D735" s="3"/>
      <c r="E735" s="3"/>
      <c r="F735" s="3"/>
      <c r="G735" s="4"/>
      <c r="H735" s="4"/>
      <c r="I735" s="4"/>
      <c r="J735" s="1"/>
    </row>
    <row r="736" spans="1:10" ht="15">
      <c r="A736" s="1"/>
      <c r="B736" s="2"/>
      <c r="C736" s="3"/>
      <c r="D736" s="3"/>
      <c r="E736" s="3"/>
      <c r="F736" s="3"/>
      <c r="G736" s="4"/>
      <c r="H736" s="4"/>
      <c r="I736" s="4"/>
      <c r="J736" s="1"/>
    </row>
    <row r="737" spans="1:10" ht="15">
      <c r="A737" s="1"/>
      <c r="B737" s="2"/>
      <c r="C737" s="3"/>
      <c r="D737" s="3"/>
      <c r="E737" s="3"/>
      <c r="F737" s="3"/>
      <c r="G737" s="4"/>
      <c r="H737" s="4"/>
      <c r="I737" s="4"/>
      <c r="J737" s="1"/>
    </row>
    <row r="738" spans="1:10" ht="15">
      <c r="A738" s="1"/>
      <c r="B738" s="2"/>
      <c r="C738" s="3"/>
      <c r="D738" s="3"/>
      <c r="E738" s="3"/>
      <c r="F738" s="3"/>
      <c r="G738" s="4"/>
      <c r="H738" s="4"/>
      <c r="I738" s="4"/>
      <c r="J738" s="1"/>
    </row>
    <row r="739" spans="1:10" ht="15">
      <c r="A739" s="1"/>
      <c r="B739" s="2"/>
      <c r="C739" s="3"/>
      <c r="D739" s="3"/>
      <c r="E739" s="3"/>
      <c r="F739" s="3"/>
      <c r="G739" s="4"/>
      <c r="H739" s="4"/>
      <c r="I739" s="4"/>
      <c r="J739" s="1"/>
    </row>
    <row r="740" spans="1:10" ht="15">
      <c r="A740" s="1"/>
      <c r="B740" s="2"/>
      <c r="C740" s="3"/>
      <c r="D740" s="3"/>
      <c r="E740" s="3"/>
      <c r="F740" s="3"/>
      <c r="G740" s="4"/>
      <c r="H740" s="4"/>
      <c r="I740" s="4"/>
      <c r="J740" s="1"/>
    </row>
    <row r="741" spans="1:10" ht="15">
      <c r="A741" s="1"/>
      <c r="B741" s="2"/>
      <c r="C741" s="3"/>
      <c r="D741" s="3"/>
      <c r="E741" s="3"/>
      <c r="F741" s="3"/>
      <c r="G741" s="4"/>
      <c r="H741" s="4"/>
      <c r="I741" s="4"/>
      <c r="J741" s="1"/>
    </row>
    <row r="742" spans="1:10" ht="15">
      <c r="A742" s="1"/>
      <c r="B742" s="2"/>
      <c r="C742" s="3"/>
      <c r="D742" s="3"/>
      <c r="E742" s="3"/>
      <c r="F742" s="3"/>
      <c r="G742" s="4"/>
      <c r="H742" s="4"/>
      <c r="I742" s="4"/>
      <c r="J742" s="1"/>
    </row>
    <row r="743" spans="1:10" ht="15">
      <c r="A743" s="1"/>
      <c r="B743" s="2"/>
      <c r="C743" s="3"/>
      <c r="D743" s="3"/>
      <c r="E743" s="3"/>
      <c r="F743" s="3"/>
      <c r="G743" s="4"/>
      <c r="H743" s="4"/>
      <c r="I743" s="4"/>
      <c r="J743" s="1"/>
    </row>
    <row r="744" spans="1:10" ht="15">
      <c r="A744" s="1"/>
      <c r="B744" s="2"/>
      <c r="C744" s="3"/>
      <c r="D744" s="3"/>
      <c r="E744" s="3"/>
      <c r="F744" s="3"/>
      <c r="G744" s="4"/>
      <c r="H744" s="4"/>
      <c r="I744" s="4"/>
      <c r="J744" s="1"/>
    </row>
    <row r="745" spans="1:10" ht="15">
      <c r="A745" s="1"/>
      <c r="B745" s="2"/>
      <c r="C745" s="3"/>
      <c r="D745" s="3"/>
      <c r="E745" s="3"/>
      <c r="F745" s="3"/>
      <c r="G745" s="4"/>
      <c r="H745" s="4"/>
      <c r="I745" s="4"/>
      <c r="J745" s="1"/>
    </row>
    <row r="746" spans="1:10" ht="15">
      <c r="A746" s="1"/>
      <c r="B746" s="2"/>
      <c r="C746" s="3"/>
      <c r="D746" s="3"/>
      <c r="E746" s="3"/>
      <c r="F746" s="3"/>
      <c r="G746" s="4"/>
      <c r="H746" s="4"/>
      <c r="I746" s="4"/>
      <c r="J746" s="1"/>
    </row>
    <row r="747" spans="1:10" ht="15">
      <c r="A747" s="1"/>
      <c r="B747" s="2"/>
      <c r="C747" s="3"/>
      <c r="D747" s="3"/>
      <c r="E747" s="3"/>
      <c r="F747" s="3"/>
      <c r="G747" s="4"/>
      <c r="H747" s="4"/>
      <c r="I747" s="4"/>
      <c r="J747" s="1"/>
    </row>
    <row r="748" spans="1:10" ht="15">
      <c r="A748" s="1"/>
      <c r="B748" s="2"/>
      <c r="C748" s="3"/>
      <c r="D748" s="3"/>
      <c r="E748" s="3"/>
      <c r="F748" s="3"/>
      <c r="G748" s="4"/>
      <c r="H748" s="4"/>
      <c r="I748" s="4"/>
      <c r="J748" s="1"/>
    </row>
    <row r="749" spans="1:10" ht="15">
      <c r="A749" s="1"/>
      <c r="B749" s="2"/>
      <c r="C749" s="3"/>
      <c r="D749" s="3"/>
      <c r="E749" s="3"/>
      <c r="F749" s="3"/>
      <c r="G749" s="4"/>
      <c r="H749" s="4"/>
      <c r="I749" s="4"/>
      <c r="J749" s="1"/>
    </row>
    <row r="750" spans="1:10" ht="15">
      <c r="A750" s="1"/>
      <c r="B750" s="2"/>
      <c r="C750" s="3"/>
      <c r="D750" s="3"/>
      <c r="E750" s="3"/>
      <c r="F750" s="3"/>
      <c r="G750" s="4"/>
      <c r="H750" s="4"/>
      <c r="I750" s="4"/>
      <c r="J750" s="1"/>
    </row>
    <row r="751" spans="1:10" ht="15">
      <c r="A751" s="1"/>
      <c r="B751" s="2"/>
      <c r="C751" s="3"/>
      <c r="D751" s="3"/>
      <c r="E751" s="3"/>
      <c r="F751" s="3"/>
      <c r="G751" s="4"/>
      <c r="H751" s="4"/>
      <c r="I751" s="4"/>
      <c r="J751" s="1"/>
    </row>
    <row r="752" spans="1:10" ht="15">
      <c r="A752" s="1"/>
      <c r="B752" s="2"/>
      <c r="C752" s="3"/>
      <c r="D752" s="3"/>
      <c r="E752" s="3"/>
      <c r="F752" s="3"/>
      <c r="G752" s="4"/>
      <c r="H752" s="4"/>
      <c r="I752" s="4"/>
      <c r="J752" s="1"/>
    </row>
    <row r="753" spans="1:10" ht="15">
      <c r="A753" s="1"/>
      <c r="B753" s="2"/>
      <c r="C753" s="3"/>
      <c r="D753" s="3"/>
      <c r="E753" s="3"/>
      <c r="F753" s="3"/>
      <c r="G753" s="4"/>
      <c r="H753" s="4"/>
      <c r="I753" s="4"/>
      <c r="J753" s="1"/>
    </row>
    <row r="754" spans="1:10" ht="15">
      <c r="A754" s="1"/>
      <c r="B754" s="2"/>
      <c r="C754" s="3"/>
      <c r="D754" s="3"/>
      <c r="E754" s="3"/>
      <c r="F754" s="3"/>
      <c r="G754" s="4"/>
      <c r="H754" s="4"/>
      <c r="I754" s="4"/>
      <c r="J754" s="1"/>
    </row>
    <row r="755" spans="1:10" ht="15">
      <c r="A755" s="1"/>
      <c r="B755" s="2"/>
      <c r="C755" s="3"/>
      <c r="D755" s="3"/>
      <c r="E755" s="3"/>
      <c r="F755" s="3"/>
      <c r="G755" s="4"/>
      <c r="H755" s="4"/>
      <c r="I755" s="4"/>
      <c r="J755" s="1"/>
    </row>
    <row r="756" spans="1:10" ht="15">
      <c r="A756" s="1"/>
      <c r="B756" s="2"/>
      <c r="C756" s="3"/>
      <c r="D756" s="3"/>
      <c r="E756" s="3"/>
      <c r="F756" s="3"/>
      <c r="G756" s="4"/>
      <c r="H756" s="4"/>
      <c r="I756" s="4"/>
      <c r="J756" s="1"/>
    </row>
    <row r="757" spans="1:10" ht="15">
      <c r="A757" s="1"/>
      <c r="B757" s="2"/>
      <c r="C757" s="3"/>
      <c r="D757" s="3"/>
      <c r="E757" s="3"/>
      <c r="F757" s="3"/>
      <c r="G757" s="4"/>
      <c r="H757" s="4"/>
      <c r="I757" s="4"/>
      <c r="J757" s="1"/>
    </row>
    <row r="758" spans="1:10" ht="15">
      <c r="A758" s="1"/>
      <c r="B758" s="2"/>
      <c r="C758" s="3"/>
      <c r="D758" s="3"/>
      <c r="E758" s="3"/>
      <c r="F758" s="3"/>
      <c r="G758" s="4"/>
      <c r="H758" s="4"/>
      <c r="I758" s="4"/>
      <c r="J758" s="1"/>
    </row>
    <row r="759" spans="1:10" ht="15">
      <c r="A759" s="1"/>
      <c r="B759" s="2"/>
      <c r="C759" s="3"/>
      <c r="D759" s="3"/>
      <c r="E759" s="3"/>
      <c r="F759" s="3"/>
      <c r="G759" s="4"/>
      <c r="H759" s="4"/>
      <c r="I759" s="4"/>
      <c r="J759" s="1"/>
    </row>
    <row r="760" spans="1:10" ht="15">
      <c r="A760" s="1"/>
      <c r="B760" s="2"/>
      <c r="C760" s="3"/>
      <c r="D760" s="3"/>
      <c r="E760" s="3"/>
      <c r="F760" s="3"/>
      <c r="G760" s="4"/>
      <c r="H760" s="4"/>
      <c r="I760" s="4"/>
      <c r="J760" s="1"/>
    </row>
    <row r="761" spans="1:10" ht="15">
      <c r="A761" s="1"/>
      <c r="B761" s="2"/>
      <c r="C761" s="3"/>
      <c r="D761" s="3"/>
      <c r="E761" s="3"/>
      <c r="F761" s="3"/>
      <c r="G761" s="4"/>
      <c r="H761" s="4"/>
      <c r="I761" s="4"/>
      <c r="J761" s="1"/>
    </row>
    <row r="762" spans="1:10" ht="15">
      <c r="A762" s="1"/>
      <c r="B762" s="2"/>
      <c r="C762" s="3"/>
      <c r="D762" s="3"/>
      <c r="E762" s="3"/>
      <c r="F762" s="3"/>
      <c r="G762" s="4"/>
      <c r="H762" s="4"/>
      <c r="I762" s="4"/>
      <c r="J762" s="1"/>
    </row>
    <row r="763" spans="1:10" ht="15">
      <c r="A763" s="1"/>
      <c r="B763" s="2"/>
      <c r="C763" s="3"/>
      <c r="D763" s="3"/>
      <c r="E763" s="3"/>
      <c r="F763" s="3"/>
      <c r="G763" s="4"/>
      <c r="H763" s="4"/>
      <c r="I763" s="4"/>
      <c r="J763" s="1"/>
    </row>
    <row r="764" spans="1:10" ht="15">
      <c r="A764" s="1"/>
      <c r="B764" s="2"/>
      <c r="C764" s="3"/>
      <c r="D764" s="3"/>
      <c r="E764" s="3"/>
      <c r="F764" s="3"/>
      <c r="G764" s="4"/>
      <c r="H764" s="4"/>
      <c r="I764" s="4"/>
      <c r="J764" s="1"/>
    </row>
    <row r="765" spans="1:10" ht="15">
      <c r="A765" s="1"/>
      <c r="B765" s="2"/>
      <c r="C765" s="3"/>
      <c r="D765" s="3"/>
      <c r="E765" s="3"/>
      <c r="F765" s="3"/>
      <c r="G765" s="4"/>
      <c r="H765" s="4"/>
      <c r="I765" s="4"/>
      <c r="J765" s="1"/>
    </row>
    <row r="766" spans="1:10" ht="15">
      <c r="A766" s="1"/>
      <c r="B766" s="2"/>
      <c r="C766" s="3"/>
      <c r="D766" s="3"/>
      <c r="E766" s="3"/>
      <c r="F766" s="3"/>
      <c r="G766" s="4"/>
      <c r="H766" s="4"/>
      <c r="I766" s="4"/>
      <c r="J766" s="1"/>
    </row>
    <row r="767" spans="1:10" ht="15">
      <c r="A767" s="1"/>
      <c r="B767" s="2"/>
      <c r="C767" s="3"/>
      <c r="D767" s="3"/>
      <c r="E767" s="3"/>
      <c r="F767" s="3"/>
      <c r="G767" s="4"/>
      <c r="H767" s="4"/>
      <c r="I767" s="4"/>
      <c r="J767" s="1"/>
    </row>
    <row r="768" spans="1:10" ht="15">
      <c r="A768" s="1"/>
      <c r="B768" s="2"/>
      <c r="C768" s="3"/>
      <c r="D768" s="3"/>
      <c r="E768" s="3"/>
      <c r="F768" s="3"/>
      <c r="G768" s="4"/>
      <c r="H768" s="4"/>
      <c r="I768" s="4"/>
      <c r="J768" s="1"/>
    </row>
    <row r="769" spans="1:10" ht="15">
      <c r="A769" s="1"/>
      <c r="B769" s="2"/>
      <c r="C769" s="3"/>
      <c r="D769" s="3"/>
      <c r="E769" s="3"/>
      <c r="F769" s="3"/>
      <c r="G769" s="4"/>
      <c r="H769" s="4"/>
      <c r="I769" s="4"/>
      <c r="J769" s="1"/>
    </row>
    <row r="770" spans="1:10" ht="15">
      <c r="A770" s="1"/>
      <c r="B770" s="2"/>
      <c r="C770" s="3"/>
      <c r="D770" s="3"/>
      <c r="E770" s="3"/>
      <c r="F770" s="3"/>
      <c r="G770" s="4"/>
      <c r="H770" s="4"/>
      <c r="I770" s="4"/>
      <c r="J770" s="1"/>
    </row>
    <row r="771" spans="1:10" ht="15">
      <c r="A771" s="1"/>
      <c r="B771" s="2"/>
      <c r="C771" s="3"/>
      <c r="D771" s="3"/>
      <c r="E771" s="3"/>
      <c r="F771" s="3"/>
      <c r="G771" s="4"/>
      <c r="H771" s="4"/>
      <c r="I771" s="4"/>
      <c r="J771" s="1"/>
    </row>
    <row r="772" spans="1:10" ht="15">
      <c r="A772" s="1"/>
      <c r="B772" s="2"/>
      <c r="C772" s="3"/>
      <c r="D772" s="3"/>
      <c r="E772" s="3"/>
      <c r="F772" s="3"/>
      <c r="G772" s="4"/>
      <c r="H772" s="4"/>
      <c r="I772" s="4"/>
      <c r="J772" s="1"/>
    </row>
    <row r="773" spans="1:10" ht="15">
      <c r="A773" s="1"/>
      <c r="B773" s="2"/>
      <c r="C773" s="3"/>
      <c r="D773" s="3"/>
      <c r="E773" s="3"/>
      <c r="F773" s="3"/>
      <c r="G773" s="4"/>
      <c r="H773" s="4"/>
      <c r="I773" s="4"/>
      <c r="J773" s="1"/>
    </row>
    <row r="774" spans="1:10" ht="15">
      <c r="A774" s="1"/>
      <c r="B774" s="2"/>
      <c r="C774" s="3"/>
      <c r="D774" s="3"/>
      <c r="E774" s="3"/>
      <c r="F774" s="3"/>
      <c r="G774" s="4"/>
      <c r="H774" s="4"/>
      <c r="I774" s="4"/>
      <c r="J774" s="1"/>
    </row>
    <row r="775" spans="1:10" ht="15">
      <c r="A775" s="1"/>
      <c r="B775" s="2"/>
      <c r="C775" s="3"/>
      <c r="D775" s="3"/>
      <c r="E775" s="3"/>
      <c r="F775" s="3"/>
      <c r="G775" s="4"/>
      <c r="H775" s="4"/>
      <c r="I775" s="4"/>
      <c r="J775" s="1"/>
    </row>
    <row r="776" spans="1:10" ht="15">
      <c r="A776" s="1"/>
      <c r="B776" s="2"/>
      <c r="C776" s="3"/>
      <c r="D776" s="3"/>
      <c r="E776" s="3"/>
      <c r="F776" s="3"/>
      <c r="G776" s="4"/>
      <c r="H776" s="4"/>
      <c r="I776" s="4"/>
      <c r="J776" s="1"/>
    </row>
    <row r="777" spans="1:10" ht="15">
      <c r="A777" s="1"/>
      <c r="B777" s="2"/>
      <c r="C777" s="3"/>
      <c r="D777" s="3"/>
      <c r="E777" s="3"/>
      <c r="F777" s="3"/>
      <c r="G777" s="4"/>
      <c r="H777" s="4"/>
      <c r="I777" s="4"/>
      <c r="J777" s="1"/>
    </row>
    <row r="778" spans="1:10" ht="15">
      <c r="A778" s="1"/>
      <c r="B778" s="2"/>
      <c r="C778" s="3"/>
      <c r="D778" s="3"/>
      <c r="E778" s="3"/>
      <c r="F778" s="3"/>
      <c r="G778" s="4"/>
      <c r="H778" s="4"/>
      <c r="I778" s="4"/>
      <c r="J778" s="1"/>
    </row>
    <row r="779" spans="1:10" ht="15">
      <c r="A779" s="1"/>
      <c r="B779" s="2"/>
      <c r="C779" s="3"/>
      <c r="D779" s="3"/>
      <c r="E779" s="3"/>
      <c r="F779" s="3"/>
      <c r="G779" s="4"/>
      <c r="H779" s="4"/>
      <c r="I779" s="4"/>
      <c r="J779" s="1"/>
    </row>
    <row r="780" spans="1:10" ht="15">
      <c r="A780" s="1"/>
      <c r="B780" s="2"/>
      <c r="C780" s="3"/>
      <c r="D780" s="3"/>
      <c r="E780" s="3"/>
      <c r="F780" s="3"/>
      <c r="G780" s="4"/>
      <c r="H780" s="4"/>
      <c r="I780" s="4"/>
      <c r="J780" s="1"/>
    </row>
    <row r="781" spans="1:10" ht="15">
      <c r="A781" s="1"/>
      <c r="B781" s="2"/>
      <c r="C781" s="3"/>
      <c r="D781" s="3"/>
      <c r="E781" s="3"/>
      <c r="F781" s="3"/>
      <c r="G781" s="4"/>
      <c r="H781" s="4"/>
      <c r="I781" s="4"/>
      <c r="J781" s="1"/>
    </row>
    <row r="782" spans="1:10" ht="15">
      <c r="A782" s="1"/>
      <c r="B782" s="2"/>
      <c r="C782" s="3"/>
      <c r="D782" s="3"/>
      <c r="E782" s="3"/>
      <c r="F782" s="3"/>
      <c r="G782" s="4"/>
      <c r="H782" s="4"/>
      <c r="I782" s="4"/>
      <c r="J782" s="1"/>
    </row>
    <row r="783" spans="1:10" ht="15">
      <c r="A783" s="1"/>
      <c r="B783" s="2"/>
      <c r="C783" s="3"/>
      <c r="D783" s="3"/>
      <c r="E783" s="3"/>
      <c r="F783" s="3"/>
      <c r="G783" s="4"/>
      <c r="H783" s="4"/>
      <c r="I783" s="4"/>
      <c r="J783" s="1"/>
    </row>
    <row r="784" spans="1:10" ht="15">
      <c r="A784" s="1"/>
      <c r="B784" s="2"/>
      <c r="C784" s="3"/>
      <c r="D784" s="3"/>
      <c r="E784" s="3"/>
      <c r="F784" s="3"/>
      <c r="G784" s="4"/>
      <c r="H784" s="4"/>
      <c r="I784" s="4"/>
      <c r="J784" s="1"/>
    </row>
    <row r="785" spans="1:10" ht="15">
      <c r="A785" s="1"/>
      <c r="B785" s="2"/>
      <c r="C785" s="3"/>
      <c r="D785" s="3"/>
      <c r="E785" s="3"/>
      <c r="F785" s="3"/>
      <c r="G785" s="4"/>
      <c r="H785" s="4"/>
      <c r="I785" s="4"/>
      <c r="J785" s="1"/>
    </row>
    <row r="786" spans="1:10" ht="15">
      <c r="A786" s="1"/>
      <c r="B786" s="2"/>
      <c r="C786" s="3"/>
      <c r="D786" s="3"/>
      <c r="E786" s="3"/>
      <c r="F786" s="3"/>
      <c r="G786" s="4"/>
      <c r="H786" s="4"/>
      <c r="I786" s="4"/>
      <c r="J786" s="1"/>
    </row>
    <row r="787" spans="1:10" ht="15">
      <c r="A787" s="1"/>
      <c r="B787" s="2"/>
      <c r="C787" s="3"/>
      <c r="D787" s="3"/>
      <c r="E787" s="3"/>
      <c r="F787" s="3"/>
      <c r="G787" s="4"/>
      <c r="H787" s="4"/>
      <c r="I787" s="4"/>
      <c r="J787" s="1"/>
    </row>
    <row r="788" spans="1:10" ht="15">
      <c r="A788" s="1"/>
      <c r="B788" s="2"/>
      <c r="C788" s="3"/>
      <c r="D788" s="3"/>
      <c r="E788" s="3"/>
      <c r="F788" s="3"/>
      <c r="G788" s="4"/>
      <c r="H788" s="4"/>
      <c r="I788" s="4"/>
      <c r="J788" s="1"/>
    </row>
    <row r="789" spans="1:10" ht="15">
      <c r="A789" s="1"/>
      <c r="B789" s="2"/>
      <c r="C789" s="3"/>
      <c r="D789" s="3"/>
      <c r="E789" s="3"/>
      <c r="F789" s="3"/>
      <c r="G789" s="4"/>
      <c r="H789" s="4"/>
      <c r="I789" s="4"/>
      <c r="J789" s="1"/>
    </row>
    <row r="790" spans="1:10" ht="15">
      <c r="A790" s="1"/>
      <c r="B790" s="2"/>
      <c r="C790" s="3"/>
      <c r="D790" s="3"/>
      <c r="E790" s="3"/>
      <c r="F790" s="3"/>
      <c r="G790" s="4"/>
      <c r="H790" s="4"/>
      <c r="I790" s="4"/>
      <c r="J790" s="1"/>
    </row>
    <row r="791" spans="1:10" ht="15">
      <c r="A791" s="1"/>
      <c r="B791" s="2"/>
      <c r="C791" s="3"/>
      <c r="D791" s="3"/>
      <c r="E791" s="3"/>
      <c r="F791" s="3"/>
      <c r="G791" s="4"/>
      <c r="H791" s="4"/>
      <c r="I791" s="4"/>
      <c r="J791" s="1"/>
    </row>
    <row r="792" spans="1:10" ht="15">
      <c r="A792" s="1"/>
      <c r="B792" s="2"/>
      <c r="C792" s="3"/>
      <c r="D792" s="3"/>
      <c r="E792" s="3"/>
      <c r="F792" s="3"/>
      <c r="G792" s="4"/>
      <c r="H792" s="4"/>
      <c r="I792" s="4"/>
      <c r="J792" s="1"/>
    </row>
    <row r="793" spans="1:10" ht="15">
      <c r="A793" s="1"/>
      <c r="B793" s="2"/>
      <c r="C793" s="3"/>
      <c r="D793" s="3"/>
      <c r="E793" s="3"/>
      <c r="F793" s="3"/>
      <c r="G793" s="4"/>
      <c r="H793" s="4"/>
      <c r="I793" s="4"/>
      <c r="J793" s="1"/>
    </row>
    <row r="794" spans="1:10" ht="15">
      <c r="A794" s="1"/>
      <c r="B794" s="2"/>
      <c r="C794" s="3"/>
      <c r="D794" s="3"/>
      <c r="E794" s="3"/>
      <c r="F794" s="3"/>
      <c r="G794" s="4"/>
      <c r="H794" s="4"/>
      <c r="I794" s="4"/>
      <c r="J794" s="1"/>
    </row>
    <row r="795" spans="1:10" ht="15">
      <c r="A795" s="1"/>
      <c r="B795" s="2"/>
      <c r="C795" s="3"/>
      <c r="D795" s="3"/>
      <c r="E795" s="3"/>
      <c r="F795" s="3"/>
      <c r="G795" s="4"/>
      <c r="H795" s="4"/>
      <c r="I795" s="4"/>
      <c r="J795" s="1"/>
    </row>
    <row r="796" spans="1:10" ht="15">
      <c r="A796" s="1"/>
      <c r="B796" s="2"/>
      <c r="C796" s="3"/>
      <c r="D796" s="3"/>
      <c r="E796" s="3"/>
      <c r="F796" s="3"/>
      <c r="G796" s="4"/>
      <c r="H796" s="4"/>
      <c r="I796" s="4"/>
      <c r="J796" s="1"/>
    </row>
    <row r="797" spans="1:10" ht="15">
      <c r="A797" s="1"/>
      <c r="B797" s="2"/>
      <c r="C797" s="3"/>
      <c r="D797" s="3"/>
      <c r="E797" s="3"/>
      <c r="F797" s="3"/>
      <c r="G797" s="4"/>
      <c r="H797" s="4"/>
      <c r="I797" s="4"/>
      <c r="J797" s="1"/>
    </row>
    <row r="798" spans="1:10" ht="15">
      <c r="A798" s="1"/>
      <c r="B798" s="2"/>
      <c r="C798" s="3"/>
      <c r="D798" s="3"/>
      <c r="E798" s="3"/>
      <c r="F798" s="3"/>
      <c r="G798" s="4"/>
      <c r="H798" s="4"/>
      <c r="I798" s="4"/>
      <c r="J798" s="1"/>
    </row>
    <row r="799" spans="1:10" ht="15">
      <c r="A799" s="1"/>
      <c r="B799" s="2"/>
      <c r="C799" s="3"/>
      <c r="D799" s="3"/>
      <c r="E799" s="3"/>
      <c r="F799" s="3"/>
      <c r="G799" s="4"/>
      <c r="H799" s="4"/>
      <c r="I799" s="4"/>
      <c r="J799" s="1"/>
    </row>
    <row r="800" spans="1:10" ht="15">
      <c r="A800" s="1"/>
      <c r="B800" s="2"/>
      <c r="C800" s="3"/>
      <c r="D800" s="3"/>
      <c r="E800" s="3"/>
      <c r="F800" s="3"/>
      <c r="G800" s="4"/>
      <c r="H800" s="4"/>
      <c r="I800" s="4"/>
      <c r="J800" s="1"/>
    </row>
    <row r="801" spans="1:10" ht="15">
      <c r="A801" s="1"/>
      <c r="B801" s="2"/>
      <c r="C801" s="3"/>
      <c r="D801" s="3"/>
      <c r="E801" s="3"/>
      <c r="F801" s="3"/>
      <c r="G801" s="4"/>
      <c r="H801" s="4"/>
      <c r="I801" s="4"/>
      <c r="J801" s="1"/>
    </row>
    <row r="802" spans="1:10" ht="15">
      <c r="A802" s="1"/>
      <c r="B802" s="2"/>
      <c r="C802" s="3"/>
      <c r="D802" s="3"/>
      <c r="E802" s="3"/>
      <c r="F802" s="3"/>
      <c r="G802" s="4"/>
      <c r="H802" s="4"/>
      <c r="I802" s="4"/>
      <c r="J802" s="1"/>
    </row>
    <row r="803" spans="1:10" ht="15">
      <c r="A803" s="1"/>
      <c r="B803" s="2"/>
      <c r="C803" s="3"/>
      <c r="D803" s="3"/>
      <c r="E803" s="3"/>
      <c r="F803" s="3"/>
      <c r="G803" s="4"/>
      <c r="H803" s="4"/>
      <c r="I803" s="4"/>
      <c r="J803" s="1"/>
    </row>
    <row r="804" spans="1:10" ht="15">
      <c r="A804" s="1"/>
      <c r="B804" s="2"/>
      <c r="C804" s="3"/>
      <c r="D804" s="3"/>
      <c r="E804" s="3"/>
      <c r="F804" s="3"/>
      <c r="G804" s="4"/>
      <c r="H804" s="4"/>
      <c r="I804" s="4"/>
      <c r="J804" s="1"/>
    </row>
    <row r="805" spans="1:10" ht="15">
      <c r="A805" s="1"/>
      <c r="B805" s="2"/>
      <c r="C805" s="3"/>
      <c r="D805" s="3"/>
      <c r="E805" s="3"/>
      <c r="F805" s="3"/>
      <c r="G805" s="4"/>
      <c r="H805" s="4"/>
      <c r="I805" s="4"/>
      <c r="J805" s="1"/>
    </row>
    <row r="806" spans="1:10" ht="15">
      <c r="A806" s="1"/>
      <c r="B806" s="2"/>
      <c r="C806" s="3"/>
      <c r="D806" s="3"/>
      <c r="E806" s="3"/>
      <c r="F806" s="3"/>
      <c r="G806" s="4"/>
      <c r="H806" s="4"/>
      <c r="I806" s="4"/>
      <c r="J806" s="1"/>
    </row>
    <row r="807" spans="1:10" ht="15">
      <c r="A807" s="1"/>
      <c r="B807" s="2"/>
      <c r="C807" s="3"/>
      <c r="D807" s="3"/>
      <c r="E807" s="3"/>
      <c r="F807" s="3"/>
      <c r="G807" s="4"/>
      <c r="H807" s="4"/>
      <c r="I807" s="4"/>
      <c r="J807" s="1"/>
    </row>
    <row r="808" spans="1:10" ht="15">
      <c r="A808" s="1"/>
      <c r="B808" s="2"/>
      <c r="C808" s="3"/>
      <c r="D808" s="3"/>
      <c r="E808" s="3"/>
      <c r="F808" s="3"/>
      <c r="G808" s="4"/>
      <c r="H808" s="4"/>
      <c r="I808" s="4"/>
      <c r="J808" s="1"/>
    </row>
    <row r="809" spans="1:10" ht="15">
      <c r="A809" s="1"/>
      <c r="B809" s="2"/>
      <c r="C809" s="3"/>
      <c r="D809" s="3"/>
      <c r="E809" s="3"/>
      <c r="F809" s="3"/>
      <c r="G809" s="4"/>
      <c r="H809" s="4"/>
      <c r="I809" s="4"/>
      <c r="J809" s="1"/>
    </row>
    <row r="810" spans="1:10" ht="15">
      <c r="A810" s="1"/>
      <c r="B810" s="2"/>
      <c r="C810" s="3"/>
      <c r="D810" s="3"/>
      <c r="E810" s="3"/>
      <c r="F810" s="3"/>
      <c r="G810" s="4"/>
      <c r="H810" s="4"/>
      <c r="I810" s="4"/>
      <c r="J810" s="1"/>
    </row>
    <row r="811" spans="1:10" ht="15">
      <c r="A811" s="1"/>
      <c r="B811" s="2"/>
      <c r="C811" s="3"/>
      <c r="D811" s="3"/>
      <c r="E811" s="3"/>
      <c r="F811" s="3"/>
      <c r="G811" s="4"/>
      <c r="H811" s="4"/>
      <c r="I811" s="4"/>
      <c r="J811" s="1"/>
    </row>
    <row r="812" spans="1:10" ht="15">
      <c r="A812" s="1"/>
      <c r="B812" s="2"/>
      <c r="C812" s="3"/>
      <c r="D812" s="3"/>
      <c r="E812" s="3"/>
      <c r="F812" s="3"/>
      <c r="G812" s="4"/>
      <c r="H812" s="4"/>
      <c r="I812" s="4"/>
      <c r="J812" s="1"/>
    </row>
    <row r="813" spans="1:10" ht="15">
      <c r="A813" s="1"/>
      <c r="B813" s="2"/>
      <c r="C813" s="3"/>
      <c r="D813" s="3"/>
      <c r="E813" s="3"/>
      <c r="F813" s="3"/>
      <c r="G813" s="4"/>
      <c r="H813" s="4"/>
      <c r="I813" s="4"/>
      <c r="J813" s="1"/>
    </row>
    <row r="814" spans="1:10" ht="15">
      <c r="A814" s="1"/>
      <c r="B814" s="2"/>
      <c r="C814" s="3"/>
      <c r="D814" s="3"/>
      <c r="E814" s="3"/>
      <c r="F814" s="3"/>
      <c r="G814" s="4"/>
      <c r="H814" s="4"/>
      <c r="I814" s="4"/>
      <c r="J814" s="1"/>
    </row>
    <row r="815" spans="1:10" ht="15">
      <c r="A815" s="1"/>
      <c r="B815" s="2"/>
      <c r="C815" s="3"/>
      <c r="D815" s="3"/>
      <c r="E815" s="3"/>
      <c r="F815" s="3"/>
      <c r="G815" s="4"/>
      <c r="H815" s="4"/>
      <c r="I815" s="4"/>
      <c r="J815" s="1"/>
    </row>
    <row r="816" spans="1:10" ht="15">
      <c r="A816" s="1"/>
      <c r="B816" s="2"/>
      <c r="C816" s="3"/>
      <c r="D816" s="3"/>
      <c r="E816" s="3"/>
      <c r="F816" s="3"/>
      <c r="G816" s="4"/>
      <c r="H816" s="4"/>
      <c r="I816" s="4"/>
      <c r="J816" s="1"/>
    </row>
    <row r="817" spans="1:10" ht="15">
      <c r="A817" s="1"/>
      <c r="B817" s="2"/>
      <c r="C817" s="3"/>
      <c r="D817" s="3"/>
      <c r="E817" s="3"/>
      <c r="F817" s="3"/>
      <c r="G817" s="4"/>
      <c r="H817" s="4"/>
      <c r="I817" s="4"/>
      <c r="J817" s="1"/>
    </row>
    <row r="818" spans="1:10" ht="15">
      <c r="A818" s="1"/>
      <c r="B818" s="2"/>
      <c r="C818" s="3"/>
      <c r="D818" s="3"/>
      <c r="E818" s="3"/>
      <c r="F818" s="3"/>
      <c r="G818" s="4"/>
      <c r="H818" s="4"/>
      <c r="I818" s="4"/>
      <c r="J818" s="1"/>
    </row>
    <row r="819" spans="1:10" ht="15">
      <c r="A819" s="1"/>
      <c r="B819" s="2"/>
      <c r="C819" s="3"/>
      <c r="D819" s="3"/>
      <c r="E819" s="3"/>
      <c r="F819" s="3"/>
      <c r="G819" s="4"/>
      <c r="H819" s="4"/>
      <c r="I819" s="4"/>
      <c r="J819" s="1"/>
    </row>
    <row r="820" spans="1:10" ht="15">
      <c r="A820" s="1"/>
      <c r="B820" s="2"/>
      <c r="C820" s="3"/>
      <c r="D820" s="3"/>
      <c r="E820" s="3"/>
      <c r="F820" s="3"/>
      <c r="G820" s="4"/>
      <c r="H820" s="4"/>
      <c r="I820" s="4"/>
      <c r="J820" s="1"/>
    </row>
    <row r="821" spans="1:10" ht="15">
      <c r="A821" s="1"/>
      <c r="B821" s="2"/>
      <c r="C821" s="3"/>
      <c r="D821" s="3"/>
      <c r="E821" s="3"/>
      <c r="F821" s="3"/>
      <c r="G821" s="4"/>
      <c r="H821" s="4"/>
      <c r="I821" s="4"/>
      <c r="J821" s="1"/>
    </row>
    <row r="822" spans="1:10" ht="15">
      <c r="A822" s="1"/>
      <c r="B822" s="2"/>
      <c r="C822" s="3"/>
      <c r="D822" s="3"/>
      <c r="E822" s="3"/>
      <c r="F822" s="3"/>
      <c r="G822" s="4"/>
      <c r="H822" s="4"/>
      <c r="I822" s="4"/>
      <c r="J822" s="1"/>
    </row>
    <row r="823" spans="1:10" ht="15">
      <c r="A823" s="1"/>
      <c r="B823" s="2"/>
      <c r="C823" s="3"/>
      <c r="D823" s="3"/>
      <c r="E823" s="3"/>
      <c r="F823" s="3"/>
      <c r="G823" s="4"/>
      <c r="H823" s="4"/>
      <c r="I823" s="4"/>
      <c r="J823" s="1"/>
    </row>
    <row r="824" spans="1:10" ht="15">
      <c r="A824" s="1"/>
      <c r="B824" s="2"/>
      <c r="C824" s="3"/>
      <c r="D824" s="3"/>
      <c r="E824" s="3"/>
      <c r="F824" s="3"/>
      <c r="G824" s="4"/>
      <c r="H824" s="4"/>
      <c r="I824" s="4"/>
      <c r="J824" s="1"/>
    </row>
    <row r="825" spans="1:10" ht="15">
      <c r="A825" s="1"/>
      <c r="B825" s="2"/>
      <c r="C825" s="3"/>
      <c r="D825" s="3"/>
      <c r="E825" s="3"/>
      <c r="F825" s="3"/>
      <c r="G825" s="4"/>
      <c r="H825" s="4"/>
      <c r="I825" s="4"/>
      <c r="J825" s="1"/>
    </row>
    <row r="826" spans="1:10" ht="15">
      <c r="A826" s="1"/>
      <c r="B826" s="2"/>
      <c r="C826" s="3"/>
      <c r="D826" s="3"/>
      <c r="E826" s="3"/>
      <c r="F826" s="3"/>
      <c r="G826" s="4"/>
      <c r="H826" s="4"/>
      <c r="I826" s="4"/>
      <c r="J826" s="1"/>
    </row>
    <row r="827" spans="1:10" ht="15">
      <c r="A827" s="1"/>
      <c r="B827" s="2"/>
      <c r="C827" s="3"/>
      <c r="D827" s="3"/>
      <c r="E827" s="3"/>
      <c r="F827" s="3"/>
      <c r="G827" s="4"/>
      <c r="H827" s="4"/>
      <c r="I827" s="4"/>
      <c r="J827" s="1"/>
    </row>
    <row r="828" spans="1:10" ht="15">
      <c r="A828" s="1"/>
      <c r="B828" s="2"/>
      <c r="C828" s="3"/>
      <c r="D828" s="3"/>
      <c r="E828" s="3"/>
      <c r="F828" s="3"/>
      <c r="G828" s="4"/>
      <c r="H828" s="4"/>
      <c r="I828" s="4"/>
      <c r="J828" s="1"/>
    </row>
    <row r="829" spans="1:10" ht="15">
      <c r="A829" s="1"/>
      <c r="B829" s="2"/>
      <c r="C829" s="3"/>
      <c r="D829" s="3"/>
      <c r="E829" s="3"/>
      <c r="F829" s="3"/>
      <c r="G829" s="4"/>
      <c r="H829" s="4"/>
      <c r="I829" s="4"/>
      <c r="J829" s="1"/>
    </row>
    <row r="830" spans="1:10" ht="15">
      <c r="A830" s="1"/>
      <c r="B830" s="2"/>
      <c r="C830" s="3"/>
      <c r="D830" s="3"/>
      <c r="E830" s="3"/>
      <c r="F830" s="3"/>
      <c r="G830" s="4"/>
      <c r="H830" s="4"/>
      <c r="I830" s="4"/>
      <c r="J830" s="1"/>
    </row>
    <row r="831" spans="1:10" ht="15">
      <c r="A831" s="1"/>
      <c r="B831" s="2"/>
      <c r="C831" s="3"/>
      <c r="D831" s="3"/>
      <c r="E831" s="3"/>
      <c r="F831" s="3"/>
      <c r="G831" s="4"/>
      <c r="H831" s="4"/>
      <c r="I831" s="4"/>
      <c r="J831" s="1"/>
    </row>
    <row r="832" spans="1:10" ht="15">
      <c r="A832" s="1"/>
      <c r="B832" s="2"/>
      <c r="C832" s="3"/>
      <c r="D832" s="3"/>
      <c r="E832" s="3"/>
      <c r="F832" s="3"/>
      <c r="G832" s="4"/>
      <c r="H832" s="4"/>
      <c r="I832" s="4"/>
      <c r="J832" s="1"/>
    </row>
    <row r="833" spans="1:10" ht="15">
      <c r="A833" s="1"/>
      <c r="B833" s="2"/>
      <c r="C833" s="3"/>
      <c r="D833" s="3"/>
      <c r="E833" s="3"/>
      <c r="F833" s="3"/>
      <c r="G833" s="4"/>
      <c r="H833" s="4"/>
      <c r="I833" s="4"/>
      <c r="J833" s="1"/>
    </row>
    <row r="834" spans="1:10" ht="15">
      <c r="A834" s="1"/>
      <c r="B834" s="2"/>
      <c r="C834" s="3"/>
      <c r="D834" s="3"/>
      <c r="E834" s="3"/>
      <c r="F834" s="3"/>
      <c r="G834" s="4"/>
      <c r="H834" s="4"/>
      <c r="I834" s="4"/>
      <c r="J834" s="1"/>
    </row>
    <row r="835" spans="1:10" ht="15">
      <c r="A835" s="1"/>
      <c r="B835" s="2"/>
      <c r="C835" s="3"/>
      <c r="D835" s="3"/>
      <c r="E835" s="3"/>
      <c r="F835" s="3"/>
      <c r="G835" s="4"/>
      <c r="H835" s="4"/>
      <c r="I835" s="4"/>
      <c r="J835" s="1"/>
    </row>
    <row r="836" spans="1:10" ht="15">
      <c r="A836" s="1"/>
      <c r="B836" s="2"/>
      <c r="C836" s="3"/>
      <c r="D836" s="3"/>
      <c r="E836" s="3"/>
      <c r="F836" s="3"/>
      <c r="G836" s="4"/>
      <c r="H836" s="4"/>
      <c r="I836" s="4"/>
      <c r="J836" s="1"/>
    </row>
    <row r="837" spans="1:10" ht="15">
      <c r="A837" s="1"/>
      <c r="B837" s="2"/>
      <c r="C837" s="3"/>
      <c r="D837" s="3"/>
      <c r="E837" s="3"/>
      <c r="F837" s="3"/>
      <c r="G837" s="4"/>
      <c r="H837" s="4"/>
      <c r="I837" s="4"/>
      <c r="J837" s="1"/>
    </row>
    <row r="838" spans="1:10" ht="15">
      <c r="A838" s="1"/>
      <c r="B838" s="2"/>
      <c r="C838" s="3"/>
      <c r="D838" s="3"/>
      <c r="E838" s="3"/>
      <c r="F838" s="3"/>
      <c r="G838" s="4"/>
      <c r="H838" s="4"/>
      <c r="I838" s="4"/>
      <c r="J838" s="1"/>
    </row>
    <row r="839" spans="1:10" ht="15">
      <c r="A839" s="1"/>
      <c r="B839" s="2"/>
      <c r="C839" s="3"/>
      <c r="D839" s="3"/>
      <c r="E839" s="3"/>
      <c r="F839" s="3"/>
      <c r="G839" s="4"/>
      <c r="H839" s="4"/>
      <c r="I839" s="4"/>
      <c r="J839" s="1"/>
    </row>
    <row r="840" spans="1:10" ht="15">
      <c r="A840" s="1"/>
      <c r="B840" s="2"/>
      <c r="C840" s="3"/>
      <c r="D840" s="3"/>
      <c r="E840" s="3"/>
      <c r="F840" s="3"/>
      <c r="G840" s="4"/>
      <c r="H840" s="4"/>
      <c r="I840" s="4"/>
      <c r="J840" s="1"/>
    </row>
    <row r="841" spans="1:10" ht="15">
      <c r="A841" s="1"/>
      <c r="B841" s="2"/>
      <c r="C841" s="3"/>
      <c r="D841" s="3"/>
      <c r="E841" s="3"/>
      <c r="F841" s="3"/>
      <c r="G841" s="4"/>
      <c r="H841" s="4"/>
      <c r="I841" s="4"/>
      <c r="J841" s="1"/>
    </row>
    <row r="842" spans="1:10" ht="15">
      <c r="A842" s="1"/>
      <c r="B842" s="2"/>
      <c r="C842" s="3"/>
      <c r="D842" s="3"/>
      <c r="E842" s="3"/>
      <c r="F842" s="3"/>
      <c r="G842" s="4"/>
      <c r="H842" s="4"/>
      <c r="I842" s="4"/>
      <c r="J842" s="1"/>
    </row>
    <row r="843" spans="1:10" ht="15">
      <c r="A843" s="1"/>
      <c r="B843" s="2"/>
      <c r="C843" s="3"/>
      <c r="D843" s="3"/>
      <c r="E843" s="3"/>
      <c r="F843" s="3"/>
      <c r="G843" s="4"/>
      <c r="H843" s="4"/>
      <c r="I843" s="4"/>
      <c r="J843" s="1"/>
    </row>
    <row r="844" spans="1:10" ht="15">
      <c r="A844" s="1"/>
      <c r="B844" s="2"/>
      <c r="C844" s="3"/>
      <c r="D844" s="3"/>
      <c r="E844" s="3"/>
      <c r="F844" s="3"/>
      <c r="G844" s="4"/>
      <c r="H844" s="4"/>
      <c r="I844" s="4"/>
      <c r="J844" s="1"/>
    </row>
    <row r="845" spans="1:10" ht="15">
      <c r="A845" s="1"/>
      <c r="B845" s="2"/>
      <c r="C845" s="3"/>
      <c r="D845" s="3"/>
      <c r="E845" s="3"/>
      <c r="F845" s="3"/>
      <c r="G845" s="4"/>
      <c r="H845" s="4"/>
      <c r="I845" s="4"/>
      <c r="J845" s="1"/>
    </row>
    <row r="846" spans="1:10" ht="15">
      <c r="A846" s="1"/>
      <c r="B846" s="2"/>
      <c r="C846" s="3"/>
      <c r="D846" s="3"/>
      <c r="E846" s="3"/>
      <c r="F846" s="3"/>
      <c r="G846" s="4"/>
      <c r="H846" s="4"/>
      <c r="I846" s="4"/>
      <c r="J846" s="1"/>
    </row>
    <row r="847" spans="1:10" ht="15">
      <c r="A847" s="1"/>
      <c r="B847" s="2"/>
      <c r="C847" s="3"/>
      <c r="D847" s="3"/>
      <c r="E847" s="3"/>
      <c r="F847" s="3"/>
      <c r="G847" s="4"/>
      <c r="H847" s="4"/>
      <c r="I847" s="4"/>
      <c r="J847" s="1"/>
    </row>
    <row r="848" spans="1:10" ht="15">
      <c r="A848" s="1"/>
      <c r="B848" s="2"/>
      <c r="C848" s="3"/>
      <c r="D848" s="3"/>
      <c r="E848" s="3"/>
      <c r="F848" s="3"/>
      <c r="G848" s="4"/>
      <c r="H848" s="4"/>
      <c r="I848" s="4"/>
      <c r="J848" s="1"/>
    </row>
    <row r="849" spans="1:10" ht="15">
      <c r="A849" s="1"/>
      <c r="B849" s="2"/>
      <c r="C849" s="3"/>
      <c r="D849" s="3"/>
      <c r="E849" s="3"/>
      <c r="F849" s="3"/>
      <c r="G849" s="4"/>
      <c r="H849" s="4"/>
      <c r="I849" s="4"/>
      <c r="J849" s="1"/>
    </row>
    <row r="850" spans="1:10" ht="15">
      <c r="A850" s="1"/>
      <c r="B850" s="2"/>
      <c r="C850" s="3"/>
      <c r="D850" s="3"/>
      <c r="E850" s="3"/>
      <c r="F850" s="3"/>
      <c r="G850" s="4"/>
      <c r="H850" s="4"/>
      <c r="I850" s="4"/>
      <c r="J850" s="1"/>
    </row>
    <row r="851" spans="1:10" ht="15">
      <c r="A851" s="1"/>
      <c r="B851" s="2"/>
      <c r="C851" s="3"/>
      <c r="D851" s="3"/>
      <c r="E851" s="3"/>
      <c r="F851" s="3"/>
      <c r="G851" s="4"/>
      <c r="H851" s="4"/>
      <c r="I851" s="4"/>
      <c r="J851" s="1"/>
    </row>
    <row r="852" spans="1:10" ht="15">
      <c r="A852" s="1"/>
      <c r="B852" s="2"/>
      <c r="C852" s="3"/>
      <c r="D852" s="3"/>
      <c r="E852" s="3"/>
      <c r="F852" s="3"/>
      <c r="G852" s="4"/>
      <c r="H852" s="4"/>
      <c r="I852" s="4"/>
      <c r="J852" s="1"/>
    </row>
    <row r="853" spans="1:10" ht="15">
      <c r="A853" s="1"/>
      <c r="B853" s="2"/>
      <c r="C853" s="3"/>
      <c r="D853" s="3"/>
      <c r="E853" s="3"/>
      <c r="F853" s="3"/>
      <c r="G853" s="4"/>
      <c r="H853" s="4"/>
      <c r="I853" s="4"/>
      <c r="J853" s="1"/>
    </row>
    <row r="854" spans="1:10" ht="15">
      <c r="A854" s="1"/>
      <c r="B854" s="2"/>
      <c r="C854" s="3"/>
      <c r="D854" s="3"/>
      <c r="E854" s="3"/>
      <c r="F854" s="3"/>
      <c r="G854" s="4"/>
      <c r="H854" s="4"/>
      <c r="I854" s="4"/>
      <c r="J854" s="1"/>
    </row>
    <row r="855" spans="1:10" ht="15">
      <c r="A855" s="1"/>
      <c r="B855" s="2"/>
      <c r="C855" s="3"/>
      <c r="D855" s="3"/>
      <c r="E855" s="3"/>
      <c r="F855" s="3"/>
      <c r="G855" s="4"/>
      <c r="H855" s="4"/>
      <c r="I855" s="4"/>
      <c r="J855" s="1"/>
    </row>
    <row r="856" spans="1:10" ht="15">
      <c r="A856" s="1"/>
      <c r="B856" s="2"/>
      <c r="C856" s="3"/>
      <c r="D856" s="3"/>
      <c r="E856" s="3"/>
      <c r="F856" s="3"/>
      <c r="G856" s="4"/>
      <c r="H856" s="4"/>
      <c r="I856" s="4"/>
      <c r="J856" s="1"/>
    </row>
    <row r="857" spans="1:10" ht="15">
      <c r="A857" s="1"/>
      <c r="B857" s="2"/>
      <c r="C857" s="3"/>
      <c r="D857" s="3"/>
      <c r="E857" s="3"/>
      <c r="F857" s="3"/>
      <c r="G857" s="4"/>
      <c r="H857" s="4"/>
      <c r="I857" s="4"/>
      <c r="J857" s="1"/>
    </row>
    <row r="858" spans="1:10" ht="15">
      <c r="A858" s="1"/>
      <c r="B858" s="2"/>
      <c r="C858" s="3"/>
      <c r="D858" s="3"/>
      <c r="E858" s="3"/>
      <c r="F858" s="3"/>
      <c r="G858" s="4"/>
      <c r="H858" s="4"/>
      <c r="I858" s="4"/>
      <c r="J858" s="1"/>
    </row>
    <row r="859" spans="1:10" ht="15">
      <c r="A859" s="1"/>
      <c r="B859" s="2"/>
      <c r="C859" s="3"/>
      <c r="D859" s="3"/>
      <c r="E859" s="3"/>
      <c r="F859" s="3"/>
      <c r="G859" s="4"/>
      <c r="H859" s="4"/>
      <c r="I859" s="4"/>
      <c r="J859" s="1"/>
    </row>
    <row r="860" spans="1:10" ht="15">
      <c r="A860" s="1"/>
      <c r="B860" s="2"/>
      <c r="C860" s="3"/>
      <c r="D860" s="3"/>
      <c r="E860" s="3"/>
      <c r="F860" s="3"/>
      <c r="G860" s="4"/>
      <c r="H860" s="4"/>
      <c r="I860" s="4"/>
      <c r="J860" s="1"/>
    </row>
  </sheetData>
  <mergeCells count="6">
    <mergeCell ref="B5:E5"/>
    <mergeCell ref="B2:B3"/>
    <mergeCell ref="C2:E3"/>
    <mergeCell ref="H2:I2"/>
    <mergeCell ref="G3:I3"/>
    <mergeCell ref="H4:I4"/>
  </mergeCells>
  <hyperlinks>
    <hyperlink ref="B10" r:id="rId1" xr:uid="{00000000-0004-0000-0300-000000000000}"/>
    <hyperlink ref="B11" r:id="rId2" xr:uid="{00000000-0004-0000-0300-000001000000}"/>
    <hyperlink ref="B16" r:id="rId3" xr:uid="{00000000-0004-0000-0300-000002000000}"/>
    <hyperlink ref="B17" r:id="rId4" xr:uid="{00000000-0004-0000-0300-000003000000}"/>
    <hyperlink ref="B18" r:id="rId5" xr:uid="{00000000-0004-0000-0300-000004000000}"/>
    <hyperlink ref="B19" r:id="rId6" xr:uid="{00000000-0004-0000-0300-000005000000}"/>
    <hyperlink ref="B24" r:id="rId7" xr:uid="{00000000-0004-0000-0300-000006000000}"/>
    <hyperlink ref="B25" r:id="rId8" xr:uid="{00000000-0004-0000-0300-000007000000}"/>
    <hyperlink ref="B26" r:id="rId9" xr:uid="{00000000-0004-0000-0300-000008000000}"/>
    <hyperlink ref="B27" r:id="rId10" xr:uid="{00000000-0004-0000-0300-000009000000}"/>
    <hyperlink ref="B28" r:id="rId11" xr:uid="{00000000-0004-0000-0300-00000A000000}"/>
    <hyperlink ref="B29" r:id="rId12" xr:uid="{00000000-0004-0000-0300-00000B000000}"/>
    <hyperlink ref="B30" r:id="rId13" xr:uid="{00000000-0004-0000-0300-00000C000000}"/>
    <hyperlink ref="B31" r:id="rId14" xr:uid="{00000000-0004-0000-0300-00000D000000}"/>
    <hyperlink ref="B32" r:id="rId15" xr:uid="{00000000-0004-0000-0300-00000E000000}"/>
    <hyperlink ref="B33" r:id="rId16" xr:uid="{00000000-0004-0000-0300-00000F000000}"/>
    <hyperlink ref="B34" r:id="rId17" xr:uid="{00000000-0004-0000-0300-000010000000}"/>
    <hyperlink ref="B35" r:id="rId18" xr:uid="{00000000-0004-0000-0300-000011000000}"/>
    <hyperlink ref="B36" r:id="rId19" xr:uid="{00000000-0004-0000-0300-000012000000}"/>
    <hyperlink ref="B37" r:id="rId20" xr:uid="{00000000-0004-0000-0300-000013000000}"/>
    <hyperlink ref="B38" r:id="rId21" xr:uid="{00000000-0004-0000-0300-000014000000}"/>
    <hyperlink ref="B39" r:id="rId22" xr:uid="{00000000-0004-0000-0300-000015000000}"/>
    <hyperlink ref="B40" r:id="rId23" xr:uid="{00000000-0004-0000-0300-000016000000}"/>
    <hyperlink ref="B41" r:id="rId24" xr:uid="{00000000-0004-0000-0300-000017000000}"/>
    <hyperlink ref="B42" r:id="rId25" xr:uid="{00000000-0004-0000-0300-000018000000}"/>
    <hyperlink ref="B43" r:id="rId26" xr:uid="{00000000-0004-0000-0300-000019000000}"/>
    <hyperlink ref="B44" r:id="rId27" xr:uid="{00000000-0004-0000-0300-00001A000000}"/>
    <hyperlink ref="B45" r:id="rId28" xr:uid="{00000000-0004-0000-0300-00001B000000}"/>
    <hyperlink ref="B46" r:id="rId29" xr:uid="{00000000-0004-0000-0300-00001C000000}"/>
    <hyperlink ref="B47" r:id="rId30" xr:uid="{00000000-0004-0000-0300-00001D000000}"/>
    <hyperlink ref="B48" r:id="rId31" xr:uid="{00000000-0004-0000-0300-00001E000000}"/>
    <hyperlink ref="B49" r:id="rId32" xr:uid="{00000000-0004-0000-0300-00001F000000}"/>
    <hyperlink ref="B50" r:id="rId33" xr:uid="{00000000-0004-0000-0300-000020000000}"/>
    <hyperlink ref="B51" r:id="rId34" xr:uid="{00000000-0004-0000-0300-000021000000}"/>
    <hyperlink ref="B52" r:id="rId35" xr:uid="{00000000-0004-0000-0300-000022000000}"/>
    <hyperlink ref="B53" r:id="rId36" xr:uid="{00000000-0004-0000-0300-000023000000}"/>
    <hyperlink ref="B54" r:id="rId37" xr:uid="{00000000-0004-0000-0300-000024000000}"/>
    <hyperlink ref="B55" r:id="rId38" xr:uid="{00000000-0004-0000-0300-000025000000}"/>
    <hyperlink ref="B56" r:id="rId39" xr:uid="{00000000-0004-0000-0300-000026000000}"/>
    <hyperlink ref="B57" r:id="rId40" xr:uid="{00000000-0004-0000-0300-000027000000}"/>
    <hyperlink ref="B58" r:id="rId41" xr:uid="{00000000-0004-0000-0300-000028000000}"/>
    <hyperlink ref="B59" r:id="rId42" xr:uid="{00000000-0004-0000-0300-000029000000}"/>
    <hyperlink ref="B60" r:id="rId43" xr:uid="{00000000-0004-0000-0300-00002A000000}"/>
    <hyperlink ref="B61" r:id="rId44" xr:uid="{00000000-0004-0000-0300-00002B000000}"/>
    <hyperlink ref="B62" r:id="rId45" xr:uid="{00000000-0004-0000-0300-00002C000000}"/>
    <hyperlink ref="B63" r:id="rId46" xr:uid="{00000000-0004-0000-0300-00002D000000}"/>
    <hyperlink ref="B64" r:id="rId47" xr:uid="{00000000-0004-0000-0300-00002E000000}"/>
    <hyperlink ref="B65" r:id="rId48" xr:uid="{00000000-0004-0000-0300-00002F000000}"/>
    <hyperlink ref="B66" r:id="rId49" xr:uid="{00000000-0004-0000-0300-000030000000}"/>
    <hyperlink ref="B67" r:id="rId50" xr:uid="{00000000-0004-0000-0300-000031000000}"/>
    <hyperlink ref="B68" r:id="rId51" xr:uid="{00000000-0004-0000-0300-000032000000}"/>
    <hyperlink ref="B69" r:id="rId52" xr:uid="{00000000-0004-0000-0300-000033000000}"/>
    <hyperlink ref="B70" r:id="rId53" xr:uid="{00000000-0004-0000-0300-000034000000}"/>
    <hyperlink ref="B71" r:id="rId54" xr:uid="{00000000-0004-0000-0300-000035000000}"/>
    <hyperlink ref="B88" r:id="rId55" xr:uid="{00000000-0004-0000-0300-000036000000}"/>
    <hyperlink ref="D88" r:id="rId56" xr:uid="{00000000-0004-0000-0300-000037000000}"/>
    <hyperlink ref="B89" r:id="rId57" xr:uid="{00000000-0004-0000-0300-000038000000}"/>
    <hyperlink ref="B106" r:id="rId58" xr:uid="{00000000-0004-0000-0300-000039000000}"/>
    <hyperlink ref="B107" r:id="rId59" xr:uid="{00000000-0004-0000-0300-00003A000000}"/>
    <hyperlink ref="B108" r:id="rId60" xr:uid="{00000000-0004-0000-0300-00003B000000}"/>
    <hyperlink ref="B109" r:id="rId61" xr:uid="{00000000-0004-0000-0300-00003C000000}"/>
    <hyperlink ref="B110" r:id="rId62" xr:uid="{00000000-0004-0000-0300-00003D000000}"/>
    <hyperlink ref="B111" r:id="rId63" xr:uid="{00000000-0004-0000-0300-00003E000000}"/>
    <hyperlink ref="B112" r:id="rId64" xr:uid="{00000000-0004-0000-0300-00003F000000}"/>
    <hyperlink ref="B113" r:id="rId65" xr:uid="{00000000-0004-0000-0300-000040000000}"/>
    <hyperlink ref="B114" r:id="rId66" xr:uid="{00000000-0004-0000-0300-000041000000}"/>
    <hyperlink ref="B115" r:id="rId67" xr:uid="{00000000-0004-0000-0300-000042000000}"/>
    <hyperlink ref="B116" r:id="rId68" xr:uid="{00000000-0004-0000-0300-000043000000}"/>
    <hyperlink ref="B117" r:id="rId69" xr:uid="{00000000-0004-0000-0300-000044000000}"/>
    <hyperlink ref="B118" r:id="rId70" xr:uid="{00000000-0004-0000-0300-000045000000}"/>
    <hyperlink ref="B119" r:id="rId71" xr:uid="{00000000-0004-0000-0300-000046000000}"/>
    <hyperlink ref="B120" r:id="rId72" xr:uid="{00000000-0004-0000-0300-000047000000}"/>
    <hyperlink ref="B121" r:id="rId73" xr:uid="{00000000-0004-0000-0300-000048000000}"/>
    <hyperlink ref="B136" r:id="rId74" xr:uid="{00000000-0004-0000-0300-000049000000}"/>
  </hyperlinks>
  <pageMargins left="0.7" right="0.7" top="0.75" bottom="0.75" header="0.3" footer="0.3"/>
  <drawing r:id="rId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75"/>
  <sheetViews>
    <sheetView workbookViewId="0">
      <selection activeCell="J1" sqref="J1:J1048576"/>
    </sheetView>
  </sheetViews>
  <sheetFormatPr baseColWidth="10" defaultColWidth="12.5703125" defaultRowHeight="15.75" customHeight="1"/>
  <cols>
    <col min="1" max="1" width="3.42578125" customWidth="1"/>
    <col min="3" max="3" width="15.5703125" customWidth="1"/>
    <col min="4" max="4" width="13.5703125" customWidth="1"/>
    <col min="5" max="5" width="9.42578125" customWidth="1"/>
    <col min="6" max="6" width="42.5703125" customWidth="1"/>
    <col min="7" max="7" width="11.42578125" customWidth="1"/>
    <col min="8" max="8" width="12.85546875" customWidth="1"/>
    <col min="9" max="9" width="15.140625" customWidth="1"/>
    <col min="10" max="10" width="3" customWidth="1"/>
  </cols>
  <sheetData>
    <row r="1" spans="1:10" ht="15">
      <c r="A1" s="2"/>
      <c r="B1" s="2"/>
      <c r="C1" s="3"/>
      <c r="D1" s="3"/>
      <c r="E1" s="3"/>
      <c r="F1" s="3"/>
      <c r="G1" s="3"/>
      <c r="H1" s="3"/>
      <c r="I1" s="3"/>
      <c r="J1" s="1"/>
    </row>
    <row r="2" spans="1:10" ht="20.25" customHeight="1">
      <c r="A2" s="1"/>
      <c r="B2" s="294"/>
      <c r="C2" s="296" t="s">
        <v>0</v>
      </c>
      <c r="D2" s="297"/>
      <c r="E2" s="298"/>
      <c r="F2" s="3"/>
      <c r="G2" s="163"/>
      <c r="H2" s="306"/>
      <c r="I2" s="306"/>
      <c r="J2" s="104"/>
    </row>
    <row r="3" spans="1:10" ht="18.75" customHeight="1">
      <c r="A3" s="1"/>
      <c r="B3" s="295"/>
      <c r="C3" s="299"/>
      <c r="D3" s="300"/>
      <c r="E3" s="301"/>
      <c r="F3" s="3"/>
      <c r="G3" s="302"/>
      <c r="H3" s="306"/>
      <c r="I3" s="306"/>
      <c r="J3" s="104"/>
    </row>
    <row r="4" spans="1:10" ht="12" customHeight="1">
      <c r="A4" s="1"/>
      <c r="B4" s="2"/>
      <c r="C4" s="3"/>
      <c r="D4" s="3"/>
      <c r="E4" s="3"/>
      <c r="F4" s="3"/>
      <c r="G4" s="163"/>
      <c r="H4" s="306"/>
      <c r="I4" s="303"/>
      <c r="J4" s="104"/>
    </row>
    <row r="5" spans="1:10" ht="15">
      <c r="A5" s="2"/>
      <c r="B5" s="305" t="s">
        <v>1208</v>
      </c>
      <c r="C5" s="306"/>
      <c r="D5" s="306"/>
      <c r="E5" s="303"/>
      <c r="F5" s="9"/>
      <c r="G5" s="10"/>
      <c r="H5" s="10"/>
      <c r="I5" s="10"/>
      <c r="J5" s="2"/>
    </row>
    <row r="6" spans="1:10" ht="15">
      <c r="A6" s="2"/>
      <c r="B6" s="331"/>
      <c r="C6" s="300"/>
      <c r="D6" s="300"/>
      <c r="E6" s="300"/>
      <c r="F6" s="300"/>
      <c r="G6" s="300"/>
      <c r="H6" s="300"/>
      <c r="I6" s="301"/>
      <c r="J6" s="2"/>
    </row>
    <row r="7" spans="1:10" ht="17.25" customHeight="1">
      <c r="A7" s="43"/>
      <c r="B7" s="51" t="s">
        <v>620</v>
      </c>
      <c r="C7" s="96"/>
      <c r="D7" s="96"/>
      <c r="E7" s="9"/>
      <c r="F7" s="9"/>
      <c r="G7" s="10"/>
      <c r="H7" s="10"/>
      <c r="I7" s="97"/>
      <c r="J7" s="98"/>
    </row>
    <row r="8" spans="1:10" ht="17.25" customHeight="1">
      <c r="A8" s="43"/>
      <c r="B8" s="2"/>
      <c r="C8" s="96"/>
      <c r="D8" s="96"/>
      <c r="E8" s="9"/>
      <c r="F8" s="9"/>
      <c r="G8" s="10"/>
      <c r="H8" s="10"/>
      <c r="I8" s="97"/>
      <c r="J8" s="98"/>
    </row>
    <row r="9" spans="1:10" ht="27.75" customHeight="1">
      <c r="A9" s="13"/>
      <c r="B9" s="16" t="s">
        <v>4</v>
      </c>
      <c r="C9" s="55" t="s">
        <v>5</v>
      </c>
      <c r="D9" s="99" t="s">
        <v>6</v>
      </c>
      <c r="E9" s="100" t="s">
        <v>7</v>
      </c>
      <c r="F9" s="100" t="s">
        <v>8</v>
      </c>
      <c r="G9" s="101" t="s">
        <v>9</v>
      </c>
      <c r="H9" s="58" t="s">
        <v>11</v>
      </c>
      <c r="I9" s="59" t="s">
        <v>12</v>
      </c>
      <c r="J9" s="143"/>
    </row>
    <row r="10" spans="1:10" ht="15">
      <c r="A10" s="43"/>
      <c r="B10" s="125" t="s">
        <v>13</v>
      </c>
      <c r="C10" s="61">
        <v>4823114014888</v>
      </c>
      <c r="D10" s="61" t="s">
        <v>621</v>
      </c>
      <c r="E10" s="61">
        <f ca="1">IFERROR(__xludf.DUMMYFUNCTION("VLOOKUP(SPLIT(D10,"".""),SPLIT(D10,"".""),1)"),38104)</f>
        <v>38104</v>
      </c>
      <c r="F10" s="61" t="s">
        <v>622</v>
      </c>
      <c r="G10" s="63" t="s">
        <v>16</v>
      </c>
      <c r="H10" s="201">
        <v>51.82</v>
      </c>
      <c r="I10" s="202">
        <v>103.64</v>
      </c>
      <c r="J10" s="79"/>
    </row>
    <row r="11" spans="1:10" ht="15">
      <c r="A11" s="43"/>
      <c r="B11" s="126" t="s">
        <v>13</v>
      </c>
      <c r="C11" s="61">
        <v>4823114014871</v>
      </c>
      <c r="D11" s="61" t="s">
        <v>623</v>
      </c>
      <c r="E11" s="61">
        <f ca="1">IFERROR(__xludf.DUMMYFUNCTION("VLOOKUP(SPLIT(D11,"".""),SPLIT(D11,"".""),1)"),38105)</f>
        <v>38105</v>
      </c>
      <c r="F11" s="61" t="s">
        <v>622</v>
      </c>
      <c r="G11" s="63" t="s">
        <v>19</v>
      </c>
      <c r="H11" s="203">
        <v>51.82</v>
      </c>
      <c r="I11" s="204">
        <v>103.64</v>
      </c>
      <c r="J11" s="79"/>
    </row>
    <row r="12" spans="1:10" ht="15">
      <c r="A12" s="43"/>
      <c r="B12" s="126" t="s">
        <v>13</v>
      </c>
      <c r="C12" s="61">
        <v>4823114014864</v>
      </c>
      <c r="D12" s="61" t="s">
        <v>624</v>
      </c>
      <c r="E12" s="61">
        <f ca="1">IFERROR(__xludf.DUMMYFUNCTION("VLOOKUP(SPLIT(D12,"".""),SPLIT(D12,"".""),1)"),38106)</f>
        <v>38106</v>
      </c>
      <c r="F12" s="61" t="s">
        <v>625</v>
      </c>
      <c r="G12" s="63" t="s">
        <v>16</v>
      </c>
      <c r="H12" s="203">
        <v>77.180000000000007</v>
      </c>
      <c r="I12" s="204">
        <v>154.35</v>
      </c>
      <c r="J12" s="79"/>
    </row>
    <row r="13" spans="1:10" ht="15">
      <c r="A13" s="43"/>
      <c r="B13" s="126" t="s">
        <v>13</v>
      </c>
      <c r="C13" s="61">
        <v>4823114014857</v>
      </c>
      <c r="D13" s="61" t="s">
        <v>626</v>
      </c>
      <c r="E13" s="61">
        <f ca="1">IFERROR(__xludf.DUMMYFUNCTION("VLOOKUP(SPLIT(D13,"".""),SPLIT(D13,"".""),1)"),38107)</f>
        <v>38107</v>
      </c>
      <c r="F13" s="61" t="s">
        <v>625</v>
      </c>
      <c r="G13" s="63" t="s">
        <v>19</v>
      </c>
      <c r="H13" s="203">
        <v>77.180000000000007</v>
      </c>
      <c r="I13" s="204">
        <v>154.35</v>
      </c>
      <c r="J13" s="79"/>
    </row>
    <row r="14" spans="1:10" ht="15">
      <c r="A14" s="43"/>
      <c r="B14" s="126" t="s">
        <v>13</v>
      </c>
      <c r="C14" s="61">
        <v>4823114030727</v>
      </c>
      <c r="D14" s="61" t="s">
        <v>627</v>
      </c>
      <c r="E14" s="61">
        <f ca="1">IFERROR(__xludf.DUMMYFUNCTION("VLOOKUP(SPLIT(D14,"".""),SPLIT(D14,"".""),1)"),52251)</f>
        <v>52251</v>
      </c>
      <c r="F14" s="61" t="s">
        <v>628</v>
      </c>
      <c r="G14" s="63" t="s">
        <v>16</v>
      </c>
      <c r="H14" s="203">
        <v>58.03</v>
      </c>
      <c r="I14" s="204">
        <v>116.05</v>
      </c>
      <c r="J14" s="79"/>
    </row>
    <row r="15" spans="1:10" ht="15">
      <c r="A15" s="43"/>
      <c r="B15" s="126" t="s">
        <v>13</v>
      </c>
      <c r="C15" s="61">
        <v>4823114030734</v>
      </c>
      <c r="D15" s="61" t="s">
        <v>629</v>
      </c>
      <c r="E15" s="61">
        <f ca="1">IFERROR(__xludf.DUMMYFUNCTION("VLOOKUP(SPLIT(D15,"".""),SPLIT(D15,"".""),1)"),52250)</f>
        <v>52250</v>
      </c>
      <c r="F15" s="61" t="s">
        <v>628</v>
      </c>
      <c r="G15" s="63" t="s">
        <v>19</v>
      </c>
      <c r="H15" s="203">
        <v>58.03</v>
      </c>
      <c r="I15" s="204">
        <v>116.05</v>
      </c>
      <c r="J15" s="79"/>
    </row>
    <row r="16" spans="1:10" ht="15">
      <c r="A16" s="43"/>
      <c r="B16" s="126" t="s">
        <v>13</v>
      </c>
      <c r="C16" s="61">
        <v>4823114030703</v>
      </c>
      <c r="D16" s="61" t="s">
        <v>630</v>
      </c>
      <c r="E16" s="61">
        <f ca="1">IFERROR(__xludf.DUMMYFUNCTION("VLOOKUP(SPLIT(D16,"".""),SPLIT(D16,"".""),1)"),52253)</f>
        <v>52253</v>
      </c>
      <c r="F16" s="61" t="s">
        <v>631</v>
      </c>
      <c r="G16" s="63" t="s">
        <v>16</v>
      </c>
      <c r="H16" s="203">
        <v>86.16</v>
      </c>
      <c r="I16" s="204">
        <v>172.32</v>
      </c>
      <c r="J16" s="79"/>
    </row>
    <row r="17" spans="1:10" ht="15">
      <c r="A17" s="43"/>
      <c r="B17" s="126" t="s">
        <v>13</v>
      </c>
      <c r="C17" s="61">
        <v>4823114030710</v>
      </c>
      <c r="D17" s="61" t="s">
        <v>632</v>
      </c>
      <c r="E17" s="61">
        <f ca="1">IFERROR(__xludf.DUMMYFUNCTION("VLOOKUP(SPLIT(D17,"".""),SPLIT(D17,"".""),1)"),52252)</f>
        <v>52252</v>
      </c>
      <c r="F17" s="61" t="s">
        <v>631</v>
      </c>
      <c r="G17" s="63" t="s">
        <v>19</v>
      </c>
      <c r="H17" s="203">
        <v>86.16</v>
      </c>
      <c r="I17" s="204">
        <v>172.32</v>
      </c>
      <c r="J17" s="79"/>
    </row>
    <row r="18" spans="1:10" ht="15">
      <c r="A18" s="43"/>
      <c r="B18" s="126" t="s">
        <v>13</v>
      </c>
      <c r="C18" s="61">
        <v>4823114030680</v>
      </c>
      <c r="D18" s="61" t="s">
        <v>633</v>
      </c>
      <c r="E18" s="61">
        <f ca="1">IFERROR(__xludf.DUMMYFUNCTION("VLOOKUP(SPLIT(D18,"".""),SPLIT(D18,"".""),1)"),52255)</f>
        <v>52255</v>
      </c>
      <c r="F18" s="61" t="s">
        <v>634</v>
      </c>
      <c r="G18" s="63" t="s">
        <v>16</v>
      </c>
      <c r="H18" s="203">
        <v>67.89</v>
      </c>
      <c r="I18" s="204">
        <v>135.79</v>
      </c>
      <c r="J18" s="79"/>
    </row>
    <row r="19" spans="1:10" ht="15">
      <c r="A19" s="43"/>
      <c r="B19" s="126" t="s">
        <v>13</v>
      </c>
      <c r="C19" s="61">
        <v>4823114030697</v>
      </c>
      <c r="D19" s="61" t="s">
        <v>635</v>
      </c>
      <c r="E19" s="61">
        <f ca="1">IFERROR(__xludf.DUMMYFUNCTION("VLOOKUP(SPLIT(D19,"".""),SPLIT(D19,"".""),1)"),52254)</f>
        <v>52254</v>
      </c>
      <c r="F19" s="61" t="s">
        <v>634</v>
      </c>
      <c r="G19" s="63" t="s">
        <v>19</v>
      </c>
      <c r="H19" s="203">
        <v>67.89</v>
      </c>
      <c r="I19" s="204">
        <v>135.79</v>
      </c>
      <c r="J19" s="79"/>
    </row>
    <row r="20" spans="1:10" ht="15">
      <c r="A20" s="43"/>
      <c r="B20" s="126" t="s">
        <v>13</v>
      </c>
      <c r="C20" s="61">
        <v>4823114030666</v>
      </c>
      <c r="D20" s="61" t="s">
        <v>636</v>
      </c>
      <c r="E20" s="61">
        <f ca="1">IFERROR(__xludf.DUMMYFUNCTION("VLOOKUP(SPLIT(D20,"".""),SPLIT(D20,"".""),1)"),52257)</f>
        <v>52257</v>
      </c>
      <c r="F20" s="61" t="s">
        <v>637</v>
      </c>
      <c r="G20" s="63" t="s">
        <v>16</v>
      </c>
      <c r="H20" s="203">
        <v>95.64</v>
      </c>
      <c r="I20" s="204">
        <v>191.27</v>
      </c>
      <c r="J20" s="79"/>
    </row>
    <row r="21" spans="1:10" ht="15">
      <c r="A21" s="43"/>
      <c r="B21" s="126" t="s">
        <v>13</v>
      </c>
      <c r="C21" s="61">
        <v>4823114030673</v>
      </c>
      <c r="D21" s="61" t="s">
        <v>638</v>
      </c>
      <c r="E21" s="61">
        <f ca="1">IFERROR(__xludf.DUMMYFUNCTION("VLOOKUP(SPLIT(D21,"".""),SPLIT(D21,"".""),1)"),52256)</f>
        <v>52256</v>
      </c>
      <c r="F21" s="61" t="s">
        <v>637</v>
      </c>
      <c r="G21" s="63" t="s">
        <v>19</v>
      </c>
      <c r="H21" s="203">
        <v>95.64</v>
      </c>
      <c r="I21" s="204">
        <v>191.27</v>
      </c>
      <c r="J21" s="79"/>
    </row>
    <row r="22" spans="1:10" ht="15">
      <c r="A22" s="43"/>
      <c r="B22" s="126" t="s">
        <v>13</v>
      </c>
      <c r="C22" s="61">
        <v>4823114040269</v>
      </c>
      <c r="D22" s="61" t="s">
        <v>639</v>
      </c>
      <c r="E22" s="61">
        <f ca="1">IFERROR(__xludf.DUMMYFUNCTION("VLOOKUP(SPLIT(D22,"".""),SPLIT(D22,"".""),1)"),63211)</f>
        <v>63211</v>
      </c>
      <c r="F22" s="61" t="s">
        <v>640</v>
      </c>
      <c r="G22" s="63" t="s">
        <v>16</v>
      </c>
      <c r="H22" s="203">
        <v>77.62</v>
      </c>
      <c r="I22" s="205">
        <v>155.25</v>
      </c>
      <c r="J22" s="79"/>
    </row>
    <row r="23" spans="1:10" ht="15">
      <c r="A23" s="43"/>
      <c r="B23" s="126" t="s">
        <v>13</v>
      </c>
      <c r="C23" s="61">
        <v>4823114040252</v>
      </c>
      <c r="D23" s="61" t="s">
        <v>641</v>
      </c>
      <c r="E23" s="61">
        <f ca="1">IFERROR(__xludf.DUMMYFUNCTION("VLOOKUP(SPLIT(D23,"".""),SPLIT(D23,"".""),1)"),63210)</f>
        <v>63210</v>
      </c>
      <c r="F23" s="61" t="s">
        <v>640</v>
      </c>
      <c r="G23" s="63" t="s">
        <v>19</v>
      </c>
      <c r="H23" s="203">
        <v>77.62</v>
      </c>
      <c r="I23" s="205">
        <v>155.25</v>
      </c>
      <c r="J23" s="79"/>
    </row>
    <row r="24" spans="1:10" ht="15">
      <c r="A24" s="43"/>
      <c r="B24" s="126" t="s">
        <v>13</v>
      </c>
      <c r="C24" s="61">
        <v>4823114040306</v>
      </c>
      <c r="D24" s="61" t="s">
        <v>642</v>
      </c>
      <c r="E24" s="61">
        <f ca="1">IFERROR(__xludf.DUMMYFUNCTION("VLOOKUP(SPLIT(D24,"".""),SPLIT(D24,"".""),1)"),63209)</f>
        <v>63209</v>
      </c>
      <c r="F24" s="61" t="s">
        <v>643</v>
      </c>
      <c r="G24" s="63" t="s">
        <v>16</v>
      </c>
      <c r="H24" s="203">
        <v>52.28</v>
      </c>
      <c r="I24" s="205">
        <v>104.55</v>
      </c>
      <c r="J24" s="79"/>
    </row>
    <row r="25" spans="1:10" ht="15">
      <c r="A25" s="43"/>
      <c r="B25" s="126" t="s">
        <v>13</v>
      </c>
      <c r="C25" s="61">
        <v>4823114040320</v>
      </c>
      <c r="D25" s="61" t="s">
        <v>644</v>
      </c>
      <c r="E25" s="61">
        <f ca="1">IFERROR(__xludf.DUMMYFUNCTION("VLOOKUP(SPLIT(D25,"".""),SPLIT(D25,"".""),1)"),63208)</f>
        <v>63208</v>
      </c>
      <c r="F25" s="61" t="s">
        <v>643</v>
      </c>
      <c r="G25" s="63" t="s">
        <v>19</v>
      </c>
      <c r="H25" s="203">
        <v>52.28</v>
      </c>
      <c r="I25" s="205">
        <v>104.55</v>
      </c>
      <c r="J25" s="79"/>
    </row>
    <row r="26" spans="1:10" ht="15">
      <c r="A26" s="43"/>
      <c r="B26" s="126" t="s">
        <v>13</v>
      </c>
      <c r="C26" s="61">
        <v>4823114040221</v>
      </c>
      <c r="D26" s="61" t="s">
        <v>645</v>
      </c>
      <c r="E26" s="61">
        <f ca="1">IFERROR(__xludf.DUMMYFUNCTION("VLOOKUP(SPLIT(D26,"".""),SPLIT(D26,"".""),1)"),63213)</f>
        <v>63213</v>
      </c>
      <c r="F26" s="61" t="s">
        <v>646</v>
      </c>
      <c r="G26" s="63" t="s">
        <v>16</v>
      </c>
      <c r="H26" s="203">
        <v>76.930000000000007</v>
      </c>
      <c r="I26" s="205">
        <v>153.86000000000001</v>
      </c>
      <c r="J26" s="79"/>
    </row>
    <row r="27" spans="1:10" ht="15">
      <c r="A27" s="43"/>
      <c r="B27" s="126" t="s">
        <v>13</v>
      </c>
      <c r="C27" s="61">
        <v>4823114040214</v>
      </c>
      <c r="D27" s="61" t="s">
        <v>647</v>
      </c>
      <c r="E27" s="61">
        <f ca="1">IFERROR(__xludf.DUMMYFUNCTION("VLOOKUP(SPLIT(D27,"".""),SPLIT(D27,"".""),1)"),63212)</f>
        <v>63212</v>
      </c>
      <c r="F27" s="61" t="s">
        <v>646</v>
      </c>
      <c r="G27" s="63" t="s">
        <v>19</v>
      </c>
      <c r="H27" s="203">
        <v>76.930000000000007</v>
      </c>
      <c r="I27" s="205">
        <v>153.86000000000001</v>
      </c>
      <c r="J27" s="79"/>
    </row>
    <row r="28" spans="1:10" ht="15">
      <c r="A28" s="43"/>
      <c r="B28" s="126" t="s">
        <v>13</v>
      </c>
      <c r="C28" s="61">
        <v>4823114042614</v>
      </c>
      <c r="D28" s="61" t="s">
        <v>648</v>
      </c>
      <c r="E28" s="61">
        <f ca="1">IFERROR(__xludf.DUMMYFUNCTION("VLOOKUP(SPLIT(D28,"".""),SPLIT(D28,"".""),1)"),63217)</f>
        <v>63217</v>
      </c>
      <c r="F28" s="61" t="s">
        <v>649</v>
      </c>
      <c r="G28" s="63" t="s">
        <v>16</v>
      </c>
      <c r="H28" s="203">
        <v>86.94</v>
      </c>
      <c r="I28" s="205">
        <v>173.88</v>
      </c>
      <c r="J28" s="79"/>
    </row>
    <row r="29" spans="1:10" ht="15">
      <c r="A29" s="43"/>
      <c r="B29" s="126" t="s">
        <v>13</v>
      </c>
      <c r="C29" s="61">
        <v>4823114042607</v>
      </c>
      <c r="D29" s="61" t="s">
        <v>650</v>
      </c>
      <c r="E29" s="61">
        <f ca="1">IFERROR(__xludf.DUMMYFUNCTION("VLOOKUP(SPLIT(D29,"".""),SPLIT(D29,"".""),1)"),63216)</f>
        <v>63216</v>
      </c>
      <c r="F29" s="61" t="s">
        <v>649</v>
      </c>
      <c r="G29" s="63" t="s">
        <v>19</v>
      </c>
      <c r="H29" s="203">
        <v>86.94</v>
      </c>
      <c r="I29" s="205">
        <v>173.88</v>
      </c>
      <c r="J29" s="79"/>
    </row>
    <row r="30" spans="1:10" ht="15">
      <c r="A30" s="43"/>
      <c r="B30" s="126" t="s">
        <v>13</v>
      </c>
      <c r="C30" s="61">
        <v>4823114042652</v>
      </c>
      <c r="D30" s="61" t="s">
        <v>651</v>
      </c>
      <c r="E30" s="61">
        <f ca="1">IFERROR(__xludf.DUMMYFUNCTION("VLOOKUP(SPLIT(D30,"".""),SPLIT(D30,"".""),1)"),63215)</f>
        <v>63215</v>
      </c>
      <c r="F30" s="61" t="s">
        <v>652</v>
      </c>
      <c r="G30" s="63" t="s">
        <v>16</v>
      </c>
      <c r="H30" s="203">
        <v>61.72</v>
      </c>
      <c r="I30" s="205">
        <v>123.44</v>
      </c>
      <c r="J30" s="79"/>
    </row>
    <row r="31" spans="1:10" ht="15">
      <c r="A31" s="43"/>
      <c r="B31" s="126" t="s">
        <v>13</v>
      </c>
      <c r="C31" s="61">
        <v>4823114042645</v>
      </c>
      <c r="D31" s="61" t="s">
        <v>653</v>
      </c>
      <c r="E31" s="61">
        <f ca="1">IFERROR(__xludf.DUMMYFUNCTION("VLOOKUP(SPLIT(D31,"".""),SPLIT(D31,"".""),1)"),63214)</f>
        <v>63214</v>
      </c>
      <c r="F31" s="61" t="s">
        <v>652</v>
      </c>
      <c r="G31" s="63" t="s">
        <v>19</v>
      </c>
      <c r="H31" s="203">
        <v>61.72</v>
      </c>
      <c r="I31" s="205">
        <v>123.44</v>
      </c>
      <c r="J31" s="79"/>
    </row>
    <row r="32" spans="1:10" ht="15">
      <c r="A32" s="43"/>
      <c r="B32" s="126" t="s">
        <v>13</v>
      </c>
      <c r="C32" s="61">
        <v>4823114042577</v>
      </c>
      <c r="D32" s="61" t="s">
        <v>654</v>
      </c>
      <c r="E32" s="61">
        <f ca="1">IFERROR(__xludf.DUMMYFUNCTION("VLOOKUP(SPLIT(D32,"".""),SPLIT(D32,"".""),1)"),63219)</f>
        <v>63219</v>
      </c>
      <c r="F32" s="61" t="s">
        <v>655</v>
      </c>
      <c r="G32" s="63" t="s">
        <v>16</v>
      </c>
      <c r="H32" s="203">
        <v>86.16</v>
      </c>
      <c r="I32" s="205">
        <v>172.32</v>
      </c>
      <c r="J32" s="79"/>
    </row>
    <row r="33" spans="1:10" ht="15">
      <c r="A33" s="43"/>
      <c r="B33" s="126" t="s">
        <v>13</v>
      </c>
      <c r="C33" s="61">
        <v>4823114042560</v>
      </c>
      <c r="D33" s="61" t="s">
        <v>656</v>
      </c>
      <c r="E33" s="61">
        <f ca="1">IFERROR(__xludf.DUMMYFUNCTION("VLOOKUP(SPLIT(D33,"".""),SPLIT(D33,"".""),1)"),63218)</f>
        <v>63218</v>
      </c>
      <c r="F33" s="61" t="s">
        <v>655</v>
      </c>
      <c r="G33" s="63" t="s">
        <v>19</v>
      </c>
      <c r="H33" s="206">
        <v>86.16</v>
      </c>
      <c r="I33" s="207">
        <v>172.32</v>
      </c>
      <c r="J33" s="79"/>
    </row>
    <row r="34" spans="1:10" ht="15">
      <c r="A34" s="43"/>
      <c r="B34" s="126" t="s">
        <v>13</v>
      </c>
      <c r="C34" s="61">
        <v>4823114046971</v>
      </c>
      <c r="D34" s="61" t="s">
        <v>657</v>
      </c>
      <c r="E34" s="61">
        <v>60827</v>
      </c>
      <c r="F34" s="61" t="s">
        <v>658</v>
      </c>
      <c r="G34" s="63" t="s">
        <v>16</v>
      </c>
      <c r="H34" s="208">
        <v>75.099999999999994</v>
      </c>
      <c r="I34" s="209">
        <v>150.19999999999999</v>
      </c>
      <c r="J34" s="79"/>
    </row>
    <row r="35" spans="1:10" ht="15">
      <c r="A35" s="43"/>
      <c r="B35" s="126" t="s">
        <v>13</v>
      </c>
      <c r="C35" s="61">
        <v>4823114046988</v>
      </c>
      <c r="D35" s="61" t="s">
        <v>659</v>
      </c>
      <c r="E35" s="61">
        <v>60826</v>
      </c>
      <c r="F35" s="61" t="s">
        <v>658</v>
      </c>
      <c r="G35" s="63" t="s">
        <v>19</v>
      </c>
      <c r="H35" s="210">
        <v>75.099999999999994</v>
      </c>
      <c r="I35" s="211">
        <v>150.19999999999999</v>
      </c>
      <c r="J35" s="79"/>
    </row>
    <row r="36" spans="1:10" ht="15">
      <c r="A36" s="43"/>
      <c r="B36" s="126" t="s">
        <v>13</v>
      </c>
      <c r="C36" s="61">
        <v>4823114046995</v>
      </c>
      <c r="D36" s="61" t="s">
        <v>660</v>
      </c>
      <c r="E36" s="61">
        <v>60829</v>
      </c>
      <c r="F36" s="61" t="s">
        <v>661</v>
      </c>
      <c r="G36" s="63" t="s">
        <v>16</v>
      </c>
      <c r="H36" s="210">
        <v>55.85</v>
      </c>
      <c r="I36" s="211">
        <v>111.7</v>
      </c>
      <c r="J36" s="79"/>
    </row>
    <row r="37" spans="1:10" ht="15">
      <c r="A37" s="43"/>
      <c r="B37" s="126" t="s">
        <v>13</v>
      </c>
      <c r="C37" s="61">
        <v>4823114047008</v>
      </c>
      <c r="D37" s="61" t="s">
        <v>662</v>
      </c>
      <c r="E37" s="61">
        <v>60828</v>
      </c>
      <c r="F37" s="61" t="s">
        <v>661</v>
      </c>
      <c r="G37" s="63" t="s">
        <v>19</v>
      </c>
      <c r="H37" s="210">
        <v>55.85</v>
      </c>
      <c r="I37" s="211">
        <v>111.7</v>
      </c>
      <c r="J37" s="79"/>
    </row>
    <row r="38" spans="1:10" ht="15">
      <c r="A38" s="43"/>
      <c r="B38" s="126" t="s">
        <v>13</v>
      </c>
      <c r="C38" s="61">
        <v>4823114047015</v>
      </c>
      <c r="D38" s="61" t="s">
        <v>663</v>
      </c>
      <c r="E38" s="61">
        <v>60831</v>
      </c>
      <c r="F38" s="61" t="s">
        <v>664</v>
      </c>
      <c r="G38" s="63" t="s">
        <v>16</v>
      </c>
      <c r="H38" s="210">
        <v>75.98</v>
      </c>
      <c r="I38" s="211">
        <v>151.96</v>
      </c>
      <c r="J38" s="79"/>
    </row>
    <row r="39" spans="1:10" ht="15">
      <c r="A39" s="43"/>
      <c r="B39" s="126" t="s">
        <v>13</v>
      </c>
      <c r="C39" s="61">
        <v>4823114047022</v>
      </c>
      <c r="D39" s="61" t="s">
        <v>665</v>
      </c>
      <c r="E39" s="61">
        <v>60830</v>
      </c>
      <c r="F39" s="61" t="s">
        <v>664</v>
      </c>
      <c r="G39" s="63" t="s">
        <v>19</v>
      </c>
      <c r="H39" s="210">
        <v>75.98</v>
      </c>
      <c r="I39" s="211">
        <v>151.96</v>
      </c>
      <c r="J39" s="79"/>
    </row>
    <row r="40" spans="1:10" ht="15">
      <c r="A40" s="43"/>
      <c r="B40" s="126" t="s">
        <v>13</v>
      </c>
      <c r="C40" s="61">
        <v>4823114047060</v>
      </c>
      <c r="D40" s="61" t="s">
        <v>666</v>
      </c>
      <c r="E40" s="61">
        <v>60833</v>
      </c>
      <c r="F40" s="61" t="s">
        <v>667</v>
      </c>
      <c r="G40" s="63" t="s">
        <v>16</v>
      </c>
      <c r="H40" s="210">
        <v>63.58</v>
      </c>
      <c r="I40" s="211">
        <v>127.16</v>
      </c>
      <c r="J40" s="79"/>
    </row>
    <row r="41" spans="1:10" ht="15">
      <c r="A41" s="43"/>
      <c r="B41" s="126" t="s">
        <v>13</v>
      </c>
      <c r="C41" s="61">
        <v>4823114047053</v>
      </c>
      <c r="D41" s="61" t="s">
        <v>668</v>
      </c>
      <c r="E41" s="61">
        <v>60832</v>
      </c>
      <c r="F41" s="61" t="s">
        <v>667</v>
      </c>
      <c r="G41" s="63" t="s">
        <v>19</v>
      </c>
      <c r="H41" s="210">
        <v>63.58</v>
      </c>
      <c r="I41" s="211">
        <v>127.16</v>
      </c>
      <c r="J41" s="79"/>
    </row>
    <row r="42" spans="1:10" ht="15">
      <c r="A42" s="43"/>
      <c r="B42" s="126" t="s">
        <v>13</v>
      </c>
      <c r="C42" s="61">
        <v>4823114047046</v>
      </c>
      <c r="D42" s="61" t="s">
        <v>669</v>
      </c>
      <c r="E42" s="61">
        <v>60835</v>
      </c>
      <c r="F42" s="61" t="s">
        <v>670</v>
      </c>
      <c r="G42" s="63" t="s">
        <v>16</v>
      </c>
      <c r="H42" s="210">
        <v>82.61</v>
      </c>
      <c r="I42" s="211">
        <v>165.22</v>
      </c>
      <c r="J42" s="79"/>
    </row>
    <row r="43" spans="1:10" ht="15">
      <c r="A43" s="43"/>
      <c r="B43" s="126" t="s">
        <v>13</v>
      </c>
      <c r="C43" s="61">
        <v>4823114047039</v>
      </c>
      <c r="D43" s="61" t="s">
        <v>671</v>
      </c>
      <c r="E43" s="61">
        <v>60834</v>
      </c>
      <c r="F43" s="61" t="s">
        <v>670</v>
      </c>
      <c r="G43" s="63" t="s">
        <v>19</v>
      </c>
      <c r="H43" s="210">
        <v>82.61</v>
      </c>
      <c r="I43" s="211">
        <v>165.22</v>
      </c>
      <c r="J43" s="79"/>
    </row>
    <row r="44" spans="1:10" ht="15" hidden="1">
      <c r="A44" s="43"/>
      <c r="B44" s="212" t="s">
        <v>13</v>
      </c>
      <c r="C44" s="213">
        <v>810031992539</v>
      </c>
      <c r="D44" s="61" t="s">
        <v>672</v>
      </c>
      <c r="E44" s="214">
        <v>68698</v>
      </c>
      <c r="F44" s="61" t="s">
        <v>673</v>
      </c>
      <c r="G44" s="63" t="s">
        <v>16</v>
      </c>
      <c r="H44" s="77"/>
      <c r="I44" s="215"/>
      <c r="J44" s="79"/>
    </row>
    <row r="45" spans="1:10" ht="15" hidden="1">
      <c r="A45" s="43"/>
      <c r="B45" s="212" t="s">
        <v>13</v>
      </c>
      <c r="C45" s="216">
        <v>810031992522</v>
      </c>
      <c r="D45" s="61" t="s">
        <v>674</v>
      </c>
      <c r="E45" s="217">
        <v>68697</v>
      </c>
      <c r="F45" s="61" t="s">
        <v>673</v>
      </c>
      <c r="G45" s="63" t="s">
        <v>19</v>
      </c>
      <c r="H45" s="77"/>
      <c r="I45" s="215"/>
      <c r="J45" s="79"/>
    </row>
    <row r="46" spans="1:10" ht="15" hidden="1">
      <c r="A46" s="43"/>
      <c r="B46" s="212" t="s">
        <v>13</v>
      </c>
      <c r="C46" s="213">
        <v>810031992515</v>
      </c>
      <c r="D46" s="61" t="s">
        <v>675</v>
      </c>
      <c r="E46" s="61">
        <v>68696</v>
      </c>
      <c r="F46" s="61" t="s">
        <v>676</v>
      </c>
      <c r="G46" s="63" t="s">
        <v>16</v>
      </c>
      <c r="H46" s="77"/>
      <c r="I46" s="215"/>
      <c r="J46" s="79"/>
    </row>
    <row r="47" spans="1:10" ht="15" hidden="1">
      <c r="A47" s="43"/>
      <c r="B47" s="212" t="s">
        <v>13</v>
      </c>
      <c r="C47" s="216">
        <v>810031992508</v>
      </c>
      <c r="D47" s="61" t="s">
        <v>677</v>
      </c>
      <c r="E47" s="61">
        <v>68695</v>
      </c>
      <c r="F47" s="61" t="s">
        <v>676</v>
      </c>
      <c r="G47" s="63" t="s">
        <v>19</v>
      </c>
      <c r="H47" s="77"/>
      <c r="I47" s="215"/>
      <c r="J47" s="79"/>
    </row>
    <row r="48" spans="1:10" ht="15">
      <c r="A48" s="1"/>
      <c r="B48" s="2"/>
      <c r="C48" s="3"/>
      <c r="D48" s="3"/>
      <c r="E48" s="3"/>
      <c r="F48" s="3"/>
      <c r="G48" s="4"/>
      <c r="H48" s="4"/>
      <c r="I48" s="4"/>
      <c r="J48" s="1"/>
    </row>
    <row r="49" spans="1:10" ht="15">
      <c r="A49" s="1"/>
      <c r="B49" s="51" t="s">
        <v>203</v>
      </c>
      <c r="C49" s="3"/>
      <c r="D49" s="3"/>
      <c r="E49" s="3"/>
      <c r="F49" s="3"/>
      <c r="G49" s="4"/>
      <c r="H49" s="4"/>
      <c r="I49" s="4"/>
      <c r="J49" s="1"/>
    </row>
    <row r="50" spans="1:10" ht="15">
      <c r="A50" s="1"/>
      <c r="B50" s="2"/>
      <c r="C50" s="3"/>
      <c r="D50" s="3"/>
      <c r="E50" s="3"/>
      <c r="F50" s="3"/>
      <c r="G50" s="4"/>
      <c r="H50" s="4"/>
      <c r="I50" s="4"/>
      <c r="J50" s="1"/>
    </row>
    <row r="51" spans="1:10" ht="30">
      <c r="A51" s="1"/>
      <c r="B51" s="16" t="s">
        <v>4</v>
      </c>
      <c r="C51" s="55" t="s">
        <v>5</v>
      </c>
      <c r="D51" s="55" t="s">
        <v>6</v>
      </c>
      <c r="E51" s="56" t="s">
        <v>7</v>
      </c>
      <c r="F51" s="56" t="s">
        <v>8</v>
      </c>
      <c r="G51" s="16" t="s">
        <v>9</v>
      </c>
      <c r="H51" s="58" t="s">
        <v>11</v>
      </c>
      <c r="I51" s="59" t="s">
        <v>12</v>
      </c>
      <c r="J51" s="1"/>
    </row>
    <row r="52" spans="1:10" ht="15">
      <c r="A52" s="1"/>
      <c r="B52" s="133" t="s">
        <v>13</v>
      </c>
      <c r="C52" s="69">
        <v>4823114056284</v>
      </c>
      <c r="D52" s="69" t="s">
        <v>678</v>
      </c>
      <c r="E52" s="69">
        <v>93359</v>
      </c>
      <c r="F52" s="135" t="s">
        <v>679</v>
      </c>
      <c r="G52" s="179" t="s">
        <v>16</v>
      </c>
      <c r="H52" s="190">
        <v>7.29</v>
      </c>
      <c r="I52" s="190">
        <v>14.59</v>
      </c>
      <c r="J52" s="1"/>
    </row>
    <row r="53" spans="1:10" ht="15">
      <c r="A53" s="112"/>
      <c r="B53" s="137" t="s">
        <v>13</v>
      </c>
      <c r="C53" s="87">
        <v>4823114056291</v>
      </c>
      <c r="D53" s="87" t="s">
        <v>680</v>
      </c>
      <c r="E53" s="87">
        <v>93360</v>
      </c>
      <c r="F53" s="34" t="s">
        <v>679</v>
      </c>
      <c r="G53" s="35" t="s">
        <v>19</v>
      </c>
      <c r="H53" s="193">
        <v>7.29</v>
      </c>
      <c r="I53" s="193">
        <v>14.59</v>
      </c>
      <c r="J53" s="78"/>
    </row>
    <row r="54" spans="1:10" ht="15">
      <c r="A54" s="1"/>
      <c r="B54" s="74"/>
      <c r="C54" s="170"/>
      <c r="D54" s="170"/>
      <c r="E54" s="170"/>
      <c r="F54" s="170"/>
      <c r="G54" s="156"/>
      <c r="H54" s="156"/>
      <c r="I54" s="156"/>
      <c r="J54" s="1"/>
    </row>
    <row r="55" spans="1:10" ht="15">
      <c r="A55" s="219"/>
      <c r="B55" s="51" t="s">
        <v>681</v>
      </c>
      <c r="C55" s="220"/>
      <c r="D55" s="221"/>
      <c r="E55" s="221"/>
      <c r="F55" s="221"/>
      <c r="G55" s="221"/>
      <c r="H55" s="221"/>
      <c r="I55" s="221"/>
      <c r="J55" s="221"/>
    </row>
    <row r="56" spans="1:10" ht="17.25" customHeight="1">
      <c r="A56" s="219"/>
      <c r="B56" s="221"/>
      <c r="C56" s="221"/>
      <c r="D56" s="221"/>
      <c r="E56" s="221"/>
      <c r="F56" s="221"/>
      <c r="G56" s="221"/>
      <c r="H56" s="221"/>
      <c r="I56" s="221"/>
      <c r="J56" s="221"/>
    </row>
    <row r="57" spans="1:10" ht="30" customHeight="1">
      <c r="A57" s="2"/>
      <c r="B57" s="16" t="s">
        <v>4</v>
      </c>
      <c r="C57" s="55" t="s">
        <v>5</v>
      </c>
      <c r="D57" s="55" t="s">
        <v>6</v>
      </c>
      <c r="E57" s="56" t="s">
        <v>7</v>
      </c>
      <c r="F57" s="56" t="s">
        <v>8</v>
      </c>
      <c r="G57" s="16" t="s">
        <v>9</v>
      </c>
      <c r="H57" s="58" t="s">
        <v>11</v>
      </c>
      <c r="I57" s="59" t="s">
        <v>12</v>
      </c>
      <c r="J57" s="2"/>
    </row>
    <row r="58" spans="1:10" ht="17.25" customHeight="1">
      <c r="A58" s="2"/>
      <c r="B58" s="125" t="s">
        <v>13</v>
      </c>
      <c r="C58" s="61">
        <v>4823114045219</v>
      </c>
      <c r="D58" s="61" t="s">
        <v>682</v>
      </c>
      <c r="E58" s="61">
        <v>60815</v>
      </c>
      <c r="F58" s="25" t="s">
        <v>683</v>
      </c>
      <c r="G58" s="175" t="s">
        <v>684</v>
      </c>
      <c r="H58" s="222">
        <v>65.25</v>
      </c>
      <c r="I58" s="222">
        <v>130.5</v>
      </c>
      <c r="J58" s="2"/>
    </row>
    <row r="59" spans="1:10" ht="15">
      <c r="A59" s="1"/>
      <c r="B59" s="125" t="s">
        <v>13</v>
      </c>
      <c r="C59" s="223" t="s">
        <v>685</v>
      </c>
      <c r="D59" s="224" t="s">
        <v>686</v>
      </c>
      <c r="E59" s="61">
        <v>83805</v>
      </c>
      <c r="F59" s="177" t="s">
        <v>683</v>
      </c>
      <c r="G59" s="178" t="s">
        <v>413</v>
      </c>
      <c r="H59" s="207">
        <v>65.25</v>
      </c>
      <c r="I59" s="207">
        <v>130.5</v>
      </c>
      <c r="J59" s="1"/>
    </row>
    <row r="60" spans="1:10" ht="15">
      <c r="A60" s="1"/>
      <c r="B60" s="125" t="s">
        <v>13</v>
      </c>
      <c r="C60" s="61">
        <v>4823114053108</v>
      </c>
      <c r="D60" s="225" t="s">
        <v>687</v>
      </c>
      <c r="E60" s="226">
        <v>87639</v>
      </c>
      <c r="F60" s="227" t="s">
        <v>683</v>
      </c>
      <c r="G60" s="178" t="s">
        <v>688</v>
      </c>
      <c r="H60" s="207">
        <v>65.25</v>
      </c>
      <c r="I60" s="207">
        <v>130.5</v>
      </c>
      <c r="J60" s="1"/>
    </row>
    <row r="61" spans="1:10" ht="15">
      <c r="A61" s="1"/>
      <c r="B61" s="125" t="s">
        <v>13</v>
      </c>
      <c r="C61" s="226">
        <v>4823114053221</v>
      </c>
      <c r="D61" s="225" t="s">
        <v>689</v>
      </c>
      <c r="E61" s="226">
        <v>87651</v>
      </c>
      <c r="F61" s="227" t="s">
        <v>683</v>
      </c>
      <c r="G61" s="178" t="s">
        <v>690</v>
      </c>
      <c r="H61" s="207">
        <v>65.25</v>
      </c>
      <c r="I61" s="207">
        <v>130.5</v>
      </c>
      <c r="J61" s="1"/>
    </row>
    <row r="62" spans="1:10" ht="15">
      <c r="A62" s="1"/>
      <c r="B62" s="125" t="s">
        <v>13</v>
      </c>
      <c r="C62" s="226">
        <v>4823114053160</v>
      </c>
      <c r="D62" s="225" t="s">
        <v>691</v>
      </c>
      <c r="E62" s="226">
        <v>87645</v>
      </c>
      <c r="F62" s="227" t="s">
        <v>683</v>
      </c>
      <c r="G62" s="178" t="s">
        <v>19</v>
      </c>
      <c r="H62" s="207">
        <v>65.25</v>
      </c>
      <c r="I62" s="207">
        <v>130.5</v>
      </c>
      <c r="J62" s="1"/>
    </row>
    <row r="63" spans="1:10">
      <c r="A63" s="1"/>
      <c r="B63" s="125" t="s">
        <v>13</v>
      </c>
      <c r="C63" s="228" t="s">
        <v>692</v>
      </c>
      <c r="D63" s="229" t="s">
        <v>693</v>
      </c>
      <c r="E63" s="230">
        <f ca="1">IFERROR(__xludf.DUMMYFUNCTION("VLOOKUP(SPLIT(D63,"".""),SPLIT(D63,"".""),1)"),94033)</f>
        <v>94033</v>
      </c>
      <c r="F63" s="231" t="s">
        <v>694</v>
      </c>
      <c r="G63" s="232" t="s">
        <v>16</v>
      </c>
      <c r="H63" s="193">
        <v>5.19</v>
      </c>
      <c r="I63" s="193">
        <v>10.38</v>
      </c>
      <c r="J63" s="1"/>
    </row>
    <row r="64" spans="1:10" ht="15">
      <c r="A64" s="1"/>
      <c r="B64" s="2"/>
      <c r="C64" s="3"/>
      <c r="D64" s="3"/>
      <c r="E64" s="3"/>
      <c r="F64" s="3"/>
      <c r="G64" s="4"/>
      <c r="H64" s="4"/>
      <c r="I64" s="4"/>
      <c r="J64" s="1"/>
    </row>
    <row r="65" spans="1:10" ht="15">
      <c r="A65" s="1"/>
      <c r="B65" s="2"/>
      <c r="C65" s="3"/>
      <c r="D65" s="3"/>
      <c r="E65" s="3"/>
      <c r="F65" s="3"/>
      <c r="G65" s="4"/>
      <c r="H65" s="4"/>
      <c r="I65" s="4"/>
      <c r="J65" s="1"/>
    </row>
    <row r="66" spans="1:10" ht="15">
      <c r="A66" s="1"/>
      <c r="B66" s="2"/>
      <c r="C66" s="3"/>
      <c r="D66" s="3"/>
      <c r="E66" s="3"/>
      <c r="F66" s="3"/>
      <c r="G66" s="4"/>
      <c r="H66" s="4"/>
      <c r="I66" s="4"/>
      <c r="J66" s="1"/>
    </row>
    <row r="67" spans="1:10" ht="15">
      <c r="A67" s="1"/>
      <c r="B67" s="2"/>
      <c r="C67" s="3"/>
      <c r="D67" s="3"/>
      <c r="E67" s="3"/>
      <c r="F67" s="3"/>
      <c r="G67" s="4"/>
      <c r="H67" s="4"/>
      <c r="I67" s="4"/>
      <c r="J67" s="1"/>
    </row>
    <row r="68" spans="1:10" ht="15">
      <c r="A68" s="1"/>
      <c r="B68" s="2"/>
      <c r="C68" s="3"/>
      <c r="D68" s="3"/>
      <c r="E68" s="3"/>
      <c r="F68" s="3"/>
      <c r="G68" s="4"/>
      <c r="H68" s="4"/>
      <c r="I68" s="4"/>
      <c r="J68" s="1"/>
    </row>
    <row r="69" spans="1:10" ht="15">
      <c r="A69" s="1"/>
      <c r="B69" s="2"/>
      <c r="C69" s="3"/>
      <c r="D69" s="3"/>
      <c r="E69" s="3"/>
      <c r="F69" s="3"/>
      <c r="G69" s="4"/>
      <c r="H69" s="4"/>
      <c r="I69" s="4"/>
      <c r="J69" s="1"/>
    </row>
    <row r="70" spans="1:10" ht="15">
      <c r="A70" s="1"/>
      <c r="B70" s="2"/>
      <c r="C70" s="3"/>
      <c r="D70" s="3"/>
      <c r="E70" s="3"/>
      <c r="F70" s="3"/>
      <c r="G70" s="4"/>
      <c r="H70" s="4"/>
      <c r="I70" s="4"/>
      <c r="J70" s="1"/>
    </row>
    <row r="71" spans="1:10" ht="15">
      <c r="A71" s="1"/>
      <c r="B71" s="2"/>
      <c r="C71" s="3"/>
      <c r="D71" s="3"/>
      <c r="E71" s="3"/>
      <c r="F71" s="3"/>
      <c r="G71" s="4"/>
      <c r="H71" s="4"/>
      <c r="I71" s="4"/>
      <c r="J71" s="1"/>
    </row>
    <row r="72" spans="1:10" ht="15">
      <c r="A72" s="1"/>
      <c r="B72" s="2"/>
      <c r="C72" s="3"/>
      <c r="D72" s="3"/>
      <c r="E72" s="3"/>
      <c r="F72" s="3"/>
      <c r="G72" s="4"/>
      <c r="H72" s="4"/>
      <c r="I72" s="4"/>
      <c r="J72" s="1"/>
    </row>
    <row r="73" spans="1:10" ht="15">
      <c r="A73" s="1"/>
      <c r="B73" s="2"/>
      <c r="C73" s="3"/>
      <c r="D73" s="3"/>
      <c r="E73" s="3"/>
      <c r="F73" s="3"/>
      <c r="G73" s="4"/>
      <c r="H73" s="4"/>
      <c r="I73" s="4"/>
      <c r="J73" s="1"/>
    </row>
    <row r="74" spans="1:10" ht="15">
      <c r="A74" s="1"/>
      <c r="B74" s="2"/>
      <c r="C74" s="3"/>
      <c r="D74" s="3"/>
      <c r="E74" s="3"/>
      <c r="F74" s="3"/>
      <c r="G74" s="4"/>
      <c r="H74" s="4"/>
      <c r="I74" s="4"/>
      <c r="J74" s="1"/>
    </row>
    <row r="75" spans="1:10" ht="15">
      <c r="A75" s="1"/>
      <c r="B75" s="2"/>
      <c r="C75" s="3"/>
      <c r="D75" s="3"/>
      <c r="E75" s="3"/>
      <c r="F75" s="3"/>
      <c r="G75" s="4"/>
      <c r="H75" s="4"/>
      <c r="I75" s="4"/>
      <c r="J75" s="1"/>
    </row>
  </sheetData>
  <mergeCells count="7">
    <mergeCell ref="B5:E5"/>
    <mergeCell ref="B6:I6"/>
    <mergeCell ref="B2:B3"/>
    <mergeCell ref="C2:E3"/>
    <mergeCell ref="H2:I2"/>
    <mergeCell ref="G3:I3"/>
    <mergeCell ref="H4:I4"/>
  </mergeCells>
  <hyperlinks>
    <hyperlink ref="B10" r:id="rId1" xr:uid="{00000000-0004-0000-0400-000000000000}"/>
    <hyperlink ref="B11" r:id="rId2" xr:uid="{00000000-0004-0000-0400-000001000000}"/>
    <hyperlink ref="B12" r:id="rId3" xr:uid="{00000000-0004-0000-0400-000002000000}"/>
    <hyperlink ref="B13" r:id="rId4" xr:uid="{00000000-0004-0000-0400-000003000000}"/>
    <hyperlink ref="B14" r:id="rId5" xr:uid="{00000000-0004-0000-0400-000004000000}"/>
    <hyperlink ref="B15" r:id="rId6" xr:uid="{00000000-0004-0000-0400-000005000000}"/>
    <hyperlink ref="B16" r:id="rId7" xr:uid="{00000000-0004-0000-0400-000006000000}"/>
    <hyperlink ref="B17" r:id="rId8" xr:uid="{00000000-0004-0000-0400-000007000000}"/>
    <hyperlink ref="B18" r:id="rId9" xr:uid="{00000000-0004-0000-0400-000008000000}"/>
    <hyperlink ref="B19" r:id="rId10" xr:uid="{00000000-0004-0000-0400-000009000000}"/>
    <hyperlink ref="B20" r:id="rId11" xr:uid="{00000000-0004-0000-0400-00000A000000}"/>
    <hyperlink ref="B21" r:id="rId12" xr:uid="{00000000-0004-0000-0400-00000B000000}"/>
    <hyperlink ref="B22" r:id="rId13" xr:uid="{00000000-0004-0000-0400-00000C000000}"/>
    <hyperlink ref="B23" r:id="rId14" xr:uid="{00000000-0004-0000-0400-00000D000000}"/>
    <hyperlink ref="B24" r:id="rId15" xr:uid="{00000000-0004-0000-0400-00000E000000}"/>
    <hyperlink ref="B25" r:id="rId16" xr:uid="{00000000-0004-0000-0400-00000F000000}"/>
    <hyperlink ref="B26" r:id="rId17" xr:uid="{00000000-0004-0000-0400-000010000000}"/>
    <hyperlink ref="B27" r:id="rId18" xr:uid="{00000000-0004-0000-0400-000011000000}"/>
    <hyperlink ref="B28" r:id="rId19" xr:uid="{00000000-0004-0000-0400-000012000000}"/>
    <hyperlink ref="B29" r:id="rId20" xr:uid="{00000000-0004-0000-0400-000013000000}"/>
    <hyperlink ref="B30" r:id="rId21" xr:uid="{00000000-0004-0000-0400-000014000000}"/>
    <hyperlink ref="B31" r:id="rId22" xr:uid="{00000000-0004-0000-0400-000015000000}"/>
    <hyperlink ref="B32" r:id="rId23" xr:uid="{00000000-0004-0000-0400-000016000000}"/>
    <hyperlink ref="B33" r:id="rId24" xr:uid="{00000000-0004-0000-0400-000017000000}"/>
    <hyperlink ref="B34" r:id="rId25" xr:uid="{00000000-0004-0000-0400-000018000000}"/>
    <hyperlink ref="B35" r:id="rId26" xr:uid="{00000000-0004-0000-0400-000019000000}"/>
    <hyperlink ref="B36" r:id="rId27" xr:uid="{00000000-0004-0000-0400-00001A000000}"/>
    <hyperlink ref="B37" r:id="rId28" xr:uid="{00000000-0004-0000-0400-00001B000000}"/>
    <hyperlink ref="B38" r:id="rId29" xr:uid="{00000000-0004-0000-0400-00001C000000}"/>
    <hyperlink ref="B39" r:id="rId30" xr:uid="{00000000-0004-0000-0400-00001D000000}"/>
    <hyperlink ref="B40" r:id="rId31" xr:uid="{00000000-0004-0000-0400-00001E000000}"/>
    <hyperlink ref="B41" r:id="rId32" xr:uid="{00000000-0004-0000-0400-00001F000000}"/>
    <hyperlink ref="B42" r:id="rId33" xr:uid="{00000000-0004-0000-0400-000020000000}"/>
    <hyperlink ref="B43" r:id="rId34" xr:uid="{00000000-0004-0000-0400-000021000000}"/>
    <hyperlink ref="B44" r:id="rId35" xr:uid="{00000000-0004-0000-0400-000022000000}"/>
    <hyperlink ref="B45" r:id="rId36" xr:uid="{00000000-0004-0000-0400-000023000000}"/>
    <hyperlink ref="B46" r:id="rId37" xr:uid="{00000000-0004-0000-0400-000024000000}"/>
    <hyperlink ref="B47" r:id="rId38" xr:uid="{00000000-0004-0000-0400-000025000000}"/>
    <hyperlink ref="B52" r:id="rId39" xr:uid="{00000000-0004-0000-0400-000026000000}"/>
    <hyperlink ref="B53" r:id="rId40" xr:uid="{00000000-0004-0000-0400-000027000000}"/>
    <hyperlink ref="B58" r:id="rId41" xr:uid="{00000000-0004-0000-0400-000028000000}"/>
    <hyperlink ref="B59" r:id="rId42" xr:uid="{00000000-0004-0000-0400-000029000000}"/>
    <hyperlink ref="B60" r:id="rId43" xr:uid="{00000000-0004-0000-0400-00002A000000}"/>
    <hyperlink ref="B61" r:id="rId44" xr:uid="{00000000-0004-0000-0400-00002B000000}"/>
    <hyperlink ref="B62" r:id="rId45" xr:uid="{00000000-0004-0000-0400-00002C000000}"/>
    <hyperlink ref="B63" r:id="rId46" xr:uid="{00000000-0004-0000-0400-00002D000000}"/>
  </hyperlinks>
  <pageMargins left="0.7" right="0.7" top="0.75" bottom="0.75" header="0.3" footer="0.3"/>
  <drawing r:id="rId4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80"/>
  <sheetViews>
    <sheetView workbookViewId="0">
      <selection activeCell="J1" sqref="J1:J1048576"/>
    </sheetView>
  </sheetViews>
  <sheetFormatPr baseColWidth="10" defaultColWidth="12.5703125" defaultRowHeight="15.75" customHeight="1"/>
  <cols>
    <col min="1" max="1" width="7.85546875" customWidth="1"/>
    <col min="2" max="2" width="11.5703125" customWidth="1"/>
    <col min="3" max="4" width="14.85546875" customWidth="1"/>
    <col min="5" max="5" width="11" customWidth="1"/>
    <col min="6" max="6" width="33.42578125" customWidth="1"/>
    <col min="7" max="7" width="11.7109375" customWidth="1"/>
    <col min="9" max="9" width="13.42578125" customWidth="1"/>
    <col min="10" max="10" width="10.5703125" customWidth="1"/>
  </cols>
  <sheetData>
    <row r="1" spans="1:10" ht="15">
      <c r="A1" s="2"/>
      <c r="B1" s="2"/>
      <c r="C1" s="3"/>
      <c r="D1" s="3"/>
      <c r="E1" s="3"/>
      <c r="F1" s="3"/>
      <c r="G1" s="4"/>
      <c r="H1" s="4"/>
      <c r="I1" s="4"/>
      <c r="J1" s="1"/>
    </row>
    <row r="2" spans="1:10" ht="15">
      <c r="A2" s="1"/>
      <c r="B2" s="294"/>
      <c r="C2" s="296"/>
      <c r="D2" s="297"/>
      <c r="E2" s="298"/>
      <c r="F2" s="3"/>
      <c r="G2" s="163"/>
      <c r="H2" s="306"/>
      <c r="I2" s="303"/>
      <c r="J2" s="104"/>
    </row>
    <row r="3" spans="1:10" ht="15">
      <c r="A3" s="1"/>
      <c r="B3" s="295"/>
      <c r="C3" s="299"/>
      <c r="D3" s="300"/>
      <c r="E3" s="301"/>
      <c r="F3" s="3"/>
      <c r="G3" s="302"/>
      <c r="H3" s="306"/>
      <c r="I3" s="303"/>
      <c r="J3" s="104"/>
    </row>
    <row r="4" spans="1:10" ht="15">
      <c r="A4" s="1"/>
      <c r="B4" s="2"/>
      <c r="C4" s="3"/>
      <c r="D4" s="3"/>
      <c r="E4" s="3"/>
      <c r="F4" s="3"/>
      <c r="G4" s="163"/>
      <c r="H4" s="306"/>
      <c r="I4" s="303"/>
      <c r="J4" s="104"/>
    </row>
    <row r="5" spans="1:10" ht="15">
      <c r="A5" s="2"/>
      <c r="B5" s="305" t="s">
        <v>1208</v>
      </c>
      <c r="C5" s="306"/>
      <c r="D5" s="306"/>
      <c r="E5" s="303"/>
      <c r="F5" s="9"/>
      <c r="G5" s="10"/>
      <c r="H5" s="11"/>
      <c r="I5" s="11"/>
      <c r="J5" s="2"/>
    </row>
    <row r="6" spans="1:10" ht="15">
      <c r="A6" s="2"/>
      <c r="B6" s="331"/>
      <c r="C6" s="300"/>
      <c r="D6" s="300"/>
      <c r="E6" s="300"/>
      <c r="F6" s="300"/>
      <c r="G6" s="300"/>
      <c r="H6" s="300"/>
      <c r="I6" s="301"/>
      <c r="J6" s="2"/>
    </row>
    <row r="7" spans="1:10" ht="15">
      <c r="A7" s="43"/>
      <c r="B7" s="51" t="s">
        <v>695</v>
      </c>
      <c r="C7" s="96"/>
      <c r="D7" s="96"/>
      <c r="E7" s="9"/>
      <c r="F7" s="9"/>
      <c r="G7" s="10"/>
      <c r="H7" s="11"/>
      <c r="I7" s="11"/>
      <c r="J7" s="98"/>
    </row>
    <row r="8" spans="1:10" ht="15">
      <c r="A8" s="43"/>
      <c r="B8" s="2"/>
      <c r="C8" s="96"/>
      <c r="D8" s="96"/>
      <c r="E8" s="9"/>
      <c r="F8" s="9"/>
      <c r="G8" s="10"/>
      <c r="H8" s="11"/>
      <c r="I8" s="11"/>
      <c r="J8" s="98"/>
    </row>
    <row r="9" spans="1:10" ht="30">
      <c r="A9" s="13"/>
      <c r="B9" s="44" t="s">
        <v>4</v>
      </c>
      <c r="C9" s="55" t="s">
        <v>5</v>
      </c>
      <c r="D9" s="99" t="s">
        <v>6</v>
      </c>
      <c r="E9" s="100" t="s">
        <v>7</v>
      </c>
      <c r="F9" s="100" t="s">
        <v>8</v>
      </c>
      <c r="G9" s="101" t="s">
        <v>9</v>
      </c>
      <c r="H9" s="57" t="s">
        <v>11</v>
      </c>
      <c r="I9" s="57" t="s">
        <v>12</v>
      </c>
      <c r="J9" s="143"/>
    </row>
    <row r="10" spans="1:10" ht="15">
      <c r="A10" s="43"/>
      <c r="B10" s="125" t="s">
        <v>13</v>
      </c>
      <c r="C10" s="61">
        <v>4823114073250</v>
      </c>
      <c r="D10" s="61" t="s">
        <v>696</v>
      </c>
      <c r="E10" s="61">
        <v>125733</v>
      </c>
      <c r="F10" s="61" t="s">
        <v>697</v>
      </c>
      <c r="G10" s="63" t="s">
        <v>16</v>
      </c>
      <c r="H10" s="77">
        <v>570.4</v>
      </c>
      <c r="I10" s="233">
        <v>1140.8</v>
      </c>
      <c r="J10" s="79"/>
    </row>
    <row r="11" spans="1:10" ht="15">
      <c r="A11" s="43"/>
      <c r="B11" s="125" t="s">
        <v>13</v>
      </c>
      <c r="C11" s="61">
        <v>4823114073267</v>
      </c>
      <c r="D11" s="61" t="s">
        <v>698</v>
      </c>
      <c r="E11" s="61">
        <v>125732</v>
      </c>
      <c r="F11" s="61" t="s">
        <v>697</v>
      </c>
      <c r="G11" s="63" t="s">
        <v>19</v>
      </c>
      <c r="H11" s="77">
        <v>570.4</v>
      </c>
      <c r="I11" s="233">
        <v>1140.8</v>
      </c>
      <c r="J11" s="79"/>
    </row>
    <row r="12" spans="1:10" ht="15">
      <c r="A12" s="1"/>
      <c r="B12" s="13"/>
      <c r="C12" s="3"/>
      <c r="D12" s="3"/>
      <c r="E12" s="3"/>
      <c r="F12" s="3"/>
      <c r="G12" s="4"/>
      <c r="H12" s="5"/>
      <c r="I12" s="5"/>
      <c r="J12" s="1"/>
    </row>
    <row r="13" spans="1:10" ht="15">
      <c r="A13" s="1"/>
      <c r="B13" s="14" t="s">
        <v>40</v>
      </c>
      <c r="C13" s="96"/>
      <c r="D13" s="96"/>
      <c r="E13" s="9"/>
      <c r="F13" s="9"/>
      <c r="G13" s="10"/>
      <c r="H13" s="11"/>
      <c r="I13" s="11"/>
      <c r="J13" s="1"/>
    </row>
    <row r="14" spans="1:10" ht="15">
      <c r="A14" s="1"/>
      <c r="B14" s="13"/>
      <c r="C14" s="96"/>
      <c r="D14" s="96"/>
      <c r="E14" s="9"/>
      <c r="F14" s="9"/>
      <c r="G14" s="10"/>
      <c r="H14" s="11"/>
      <c r="I14" s="11"/>
      <c r="J14" s="1"/>
    </row>
    <row r="15" spans="1:10" ht="30">
      <c r="A15" s="1"/>
      <c r="B15" s="44" t="s">
        <v>4</v>
      </c>
      <c r="C15" s="55" t="s">
        <v>5</v>
      </c>
      <c r="D15" s="99" t="s">
        <v>6</v>
      </c>
      <c r="E15" s="100" t="s">
        <v>7</v>
      </c>
      <c r="F15" s="100" t="s">
        <v>8</v>
      </c>
      <c r="G15" s="101" t="s">
        <v>9</v>
      </c>
      <c r="H15" s="57" t="s">
        <v>11</v>
      </c>
      <c r="I15" s="57" t="s">
        <v>12</v>
      </c>
      <c r="J15" s="1"/>
    </row>
    <row r="16" spans="1:10" ht="15">
      <c r="A16" s="1"/>
      <c r="B16" s="125" t="s">
        <v>13</v>
      </c>
      <c r="C16" s="61">
        <v>4823114076817</v>
      </c>
      <c r="D16" s="61" t="s">
        <v>699</v>
      </c>
      <c r="E16" s="61">
        <v>135976</v>
      </c>
      <c r="F16" s="61" t="s">
        <v>700</v>
      </c>
      <c r="G16" s="63" t="s">
        <v>16</v>
      </c>
      <c r="H16" s="77">
        <v>178.25</v>
      </c>
      <c r="I16" s="233">
        <v>356.5</v>
      </c>
      <c r="J16" s="78"/>
    </row>
    <row r="17" spans="1:10" ht="15">
      <c r="A17" s="1"/>
      <c r="B17" s="125" t="s">
        <v>13</v>
      </c>
      <c r="C17" s="61">
        <v>4823114076800</v>
      </c>
      <c r="D17" s="61" t="s">
        <v>701</v>
      </c>
      <c r="E17" s="61">
        <v>135975</v>
      </c>
      <c r="F17" s="61" t="s">
        <v>700</v>
      </c>
      <c r="G17" s="63" t="s">
        <v>19</v>
      </c>
      <c r="H17" s="77">
        <v>178.25</v>
      </c>
      <c r="I17" s="233">
        <v>356.5</v>
      </c>
      <c r="J17" s="78"/>
    </row>
    <row r="18" spans="1:10" ht="15">
      <c r="A18" s="1"/>
      <c r="B18" s="13"/>
      <c r="C18" s="3"/>
      <c r="D18" s="3"/>
      <c r="E18" s="3"/>
      <c r="F18" s="3"/>
      <c r="G18" s="4"/>
      <c r="H18" s="5"/>
      <c r="I18" s="5"/>
      <c r="J18" s="1"/>
    </row>
    <row r="19" spans="1:10" ht="15">
      <c r="A19" s="1"/>
      <c r="B19" s="14" t="s">
        <v>203</v>
      </c>
      <c r="C19" s="3"/>
      <c r="D19" s="3"/>
      <c r="E19" s="3"/>
      <c r="F19" s="3"/>
      <c r="G19" s="4"/>
      <c r="H19" s="5"/>
      <c r="I19" s="5"/>
      <c r="J19" s="1"/>
    </row>
    <row r="20" spans="1:10" ht="15">
      <c r="A20" s="1"/>
      <c r="B20" s="13"/>
      <c r="C20" s="3"/>
      <c r="D20" s="3"/>
      <c r="E20" s="3"/>
      <c r="F20" s="3"/>
      <c r="G20" s="4"/>
      <c r="H20" s="5"/>
      <c r="I20" s="5"/>
      <c r="J20" s="1"/>
    </row>
    <row r="21" spans="1:10" ht="30">
      <c r="A21" s="1"/>
      <c r="B21" s="44" t="s">
        <v>4</v>
      </c>
      <c r="C21" s="55" t="s">
        <v>5</v>
      </c>
      <c r="D21" s="55" t="s">
        <v>6</v>
      </c>
      <c r="E21" s="56" t="s">
        <v>7</v>
      </c>
      <c r="F21" s="56" t="s">
        <v>8</v>
      </c>
      <c r="G21" s="16" t="s">
        <v>9</v>
      </c>
      <c r="H21" s="57" t="s">
        <v>11</v>
      </c>
      <c r="I21" s="57" t="s">
        <v>12</v>
      </c>
      <c r="J21" s="1"/>
    </row>
    <row r="22" spans="1:10" ht="15">
      <c r="A22" s="1"/>
      <c r="B22" s="125" t="s">
        <v>13</v>
      </c>
      <c r="C22" s="69">
        <v>4823114073274</v>
      </c>
      <c r="D22" s="189" t="s">
        <v>702</v>
      </c>
      <c r="E22" s="69">
        <v>127877</v>
      </c>
      <c r="F22" s="135" t="s">
        <v>703</v>
      </c>
      <c r="G22" s="179" t="s">
        <v>16</v>
      </c>
      <c r="H22" s="77">
        <v>46.5</v>
      </c>
      <c r="I22" s="233">
        <v>93</v>
      </c>
      <c r="J22" s="78"/>
    </row>
    <row r="23" spans="1:10" ht="15">
      <c r="A23" s="112"/>
      <c r="B23" s="125" t="s">
        <v>13</v>
      </c>
      <c r="C23" s="87">
        <v>4823114073281</v>
      </c>
      <c r="D23" s="87" t="s">
        <v>704</v>
      </c>
      <c r="E23" s="87">
        <v>127876</v>
      </c>
      <c r="F23" s="34" t="s">
        <v>703</v>
      </c>
      <c r="G23" s="35" t="s">
        <v>19</v>
      </c>
      <c r="H23" s="77">
        <v>46.5</v>
      </c>
      <c r="I23" s="233">
        <v>93</v>
      </c>
      <c r="J23" s="78"/>
    </row>
    <row r="24" spans="1:10" ht="15">
      <c r="A24" s="112"/>
      <c r="B24" s="125" t="s">
        <v>13</v>
      </c>
      <c r="C24" s="87">
        <v>4823114073298</v>
      </c>
      <c r="D24" s="87" t="s">
        <v>705</v>
      </c>
      <c r="E24" s="87">
        <v>127879</v>
      </c>
      <c r="F24" s="34" t="s">
        <v>706</v>
      </c>
      <c r="G24" s="179" t="s">
        <v>16</v>
      </c>
      <c r="H24" s="77">
        <v>93</v>
      </c>
      <c r="I24" s="233">
        <v>186</v>
      </c>
      <c r="J24" s="78"/>
    </row>
    <row r="25" spans="1:10" ht="15">
      <c r="A25" s="112"/>
      <c r="B25" s="125" t="s">
        <v>13</v>
      </c>
      <c r="C25" s="87">
        <v>4823114073304</v>
      </c>
      <c r="D25" s="87" t="s">
        <v>707</v>
      </c>
      <c r="E25" s="87">
        <v>127878</v>
      </c>
      <c r="F25" s="34" t="s">
        <v>706</v>
      </c>
      <c r="G25" s="35" t="s">
        <v>19</v>
      </c>
      <c r="H25" s="77">
        <v>93</v>
      </c>
      <c r="I25" s="233">
        <v>186</v>
      </c>
      <c r="J25" s="78"/>
    </row>
    <row r="26" spans="1:10" ht="15">
      <c r="A26" s="112"/>
      <c r="B26" s="125" t="s">
        <v>13</v>
      </c>
      <c r="C26" s="87">
        <v>4823114070952</v>
      </c>
      <c r="D26" s="87" t="s">
        <v>708</v>
      </c>
      <c r="E26" s="87">
        <v>125718</v>
      </c>
      <c r="F26" s="34" t="s">
        <v>709</v>
      </c>
      <c r="G26" s="179" t="s">
        <v>16</v>
      </c>
      <c r="H26" s="77">
        <v>48.050000000000004</v>
      </c>
      <c r="I26" s="233">
        <v>96.100000000000009</v>
      </c>
      <c r="J26" s="78"/>
    </row>
    <row r="27" spans="1:10" ht="15">
      <c r="A27" s="112"/>
      <c r="B27" s="125" t="s">
        <v>13</v>
      </c>
      <c r="C27" s="87">
        <v>4823114070945</v>
      </c>
      <c r="D27" s="87" t="s">
        <v>710</v>
      </c>
      <c r="E27" s="87">
        <v>125717</v>
      </c>
      <c r="F27" s="34" t="s">
        <v>709</v>
      </c>
      <c r="G27" s="35" t="s">
        <v>19</v>
      </c>
      <c r="H27" s="77">
        <v>48.050000000000004</v>
      </c>
      <c r="I27" s="233">
        <v>96.100000000000009</v>
      </c>
      <c r="J27" s="78"/>
    </row>
    <row r="28" spans="1:10" ht="15">
      <c r="A28" s="1"/>
      <c r="B28" s="219"/>
      <c r="C28" s="170"/>
      <c r="D28" s="170"/>
      <c r="E28" s="170"/>
      <c r="F28" s="170"/>
      <c r="G28" s="156"/>
      <c r="H28" s="234"/>
      <c r="I28" s="234"/>
      <c r="J28" s="1"/>
    </row>
    <row r="29" spans="1:10" ht="15">
      <c r="A29" s="1"/>
      <c r="B29" s="14" t="s">
        <v>620</v>
      </c>
      <c r="C29" s="3"/>
      <c r="D29" s="3"/>
      <c r="E29" s="3"/>
      <c r="F29" s="3"/>
      <c r="G29" s="4"/>
      <c r="H29" s="5"/>
      <c r="I29" s="5"/>
      <c r="J29" s="1"/>
    </row>
    <row r="30" spans="1:10" ht="15">
      <c r="A30" s="1"/>
      <c r="B30" s="13"/>
      <c r="C30" s="3"/>
      <c r="D30" s="3"/>
      <c r="E30" s="3"/>
      <c r="F30" s="3"/>
      <c r="G30" s="4"/>
      <c r="H30" s="5"/>
      <c r="I30" s="5"/>
      <c r="J30" s="1"/>
    </row>
    <row r="31" spans="1:10" ht="30">
      <c r="A31" s="1"/>
      <c r="B31" s="44" t="s">
        <v>4</v>
      </c>
      <c r="C31" s="55" t="s">
        <v>5</v>
      </c>
      <c r="D31" s="55" t="s">
        <v>6</v>
      </c>
      <c r="E31" s="56" t="s">
        <v>7</v>
      </c>
      <c r="F31" s="56" t="s">
        <v>8</v>
      </c>
      <c r="G31" s="16" t="s">
        <v>9</v>
      </c>
      <c r="H31" s="57" t="s">
        <v>11</v>
      </c>
      <c r="I31" s="57" t="s">
        <v>12</v>
      </c>
      <c r="J31" s="1"/>
    </row>
    <row r="32" spans="1:10" ht="15">
      <c r="A32" s="1"/>
      <c r="B32" s="125" t="s">
        <v>13</v>
      </c>
      <c r="C32" s="69">
        <v>4823114069277</v>
      </c>
      <c r="D32" s="69" t="s">
        <v>711</v>
      </c>
      <c r="E32" s="69">
        <v>119922</v>
      </c>
      <c r="F32" s="135" t="s">
        <v>712</v>
      </c>
      <c r="G32" s="179" t="s">
        <v>16</v>
      </c>
      <c r="H32" s="77">
        <v>66.650000000000006</v>
      </c>
      <c r="I32" s="233">
        <v>133.30000000000001</v>
      </c>
      <c r="J32" s="78"/>
    </row>
    <row r="33" spans="1:10" ht="15">
      <c r="A33" s="1"/>
      <c r="B33" s="125" t="s">
        <v>13</v>
      </c>
      <c r="C33" s="87">
        <v>4823114069260</v>
      </c>
      <c r="D33" s="87" t="s">
        <v>713</v>
      </c>
      <c r="E33" s="87">
        <v>119921</v>
      </c>
      <c r="F33" s="34" t="s">
        <v>712</v>
      </c>
      <c r="G33" s="35" t="s">
        <v>19</v>
      </c>
      <c r="H33" s="77">
        <v>66.650000000000006</v>
      </c>
      <c r="I33" s="233">
        <v>133.30000000000001</v>
      </c>
      <c r="J33" s="78"/>
    </row>
    <row r="34" spans="1:10" ht="15">
      <c r="A34" s="1"/>
      <c r="B34" s="125" t="s">
        <v>13</v>
      </c>
      <c r="C34" s="87">
        <v>4823114069253</v>
      </c>
      <c r="D34" s="87" t="s">
        <v>714</v>
      </c>
      <c r="E34" s="87">
        <v>119920</v>
      </c>
      <c r="F34" s="34" t="s">
        <v>715</v>
      </c>
      <c r="G34" s="179" t="s">
        <v>16</v>
      </c>
      <c r="H34" s="77">
        <v>75.95</v>
      </c>
      <c r="I34" s="233">
        <v>151.9</v>
      </c>
      <c r="J34" s="78"/>
    </row>
    <row r="35" spans="1:10" ht="15">
      <c r="A35" s="1"/>
      <c r="B35" s="125" t="s">
        <v>13</v>
      </c>
      <c r="C35" s="87">
        <v>4823114069246</v>
      </c>
      <c r="D35" s="87" t="s">
        <v>716</v>
      </c>
      <c r="E35" s="87">
        <v>119919</v>
      </c>
      <c r="F35" s="34" t="s">
        <v>715</v>
      </c>
      <c r="G35" s="35" t="s">
        <v>19</v>
      </c>
      <c r="H35" s="77">
        <v>75.95</v>
      </c>
      <c r="I35" s="233">
        <v>151.9</v>
      </c>
      <c r="J35" s="78"/>
    </row>
    <row r="36" spans="1:10" ht="15">
      <c r="A36" s="1"/>
      <c r="B36" s="125" t="s">
        <v>13</v>
      </c>
      <c r="C36" s="69">
        <v>4823114069239</v>
      </c>
      <c r="D36" s="69" t="s">
        <v>717</v>
      </c>
      <c r="E36" s="69">
        <v>119918</v>
      </c>
      <c r="F36" s="135" t="s">
        <v>718</v>
      </c>
      <c r="G36" s="179" t="s">
        <v>16</v>
      </c>
      <c r="H36" s="77">
        <v>66.650000000000006</v>
      </c>
      <c r="I36" s="233">
        <v>133.30000000000001</v>
      </c>
      <c r="J36" s="78"/>
    </row>
    <row r="37" spans="1:10" ht="15">
      <c r="A37" s="1"/>
      <c r="B37" s="125" t="s">
        <v>13</v>
      </c>
      <c r="C37" s="87">
        <v>4823114069222</v>
      </c>
      <c r="D37" s="87" t="s">
        <v>719</v>
      </c>
      <c r="E37" s="87">
        <v>119917</v>
      </c>
      <c r="F37" s="34" t="s">
        <v>720</v>
      </c>
      <c r="G37" s="35" t="s">
        <v>19</v>
      </c>
      <c r="H37" s="77">
        <v>66.650000000000006</v>
      </c>
      <c r="I37" s="233">
        <v>133.30000000000001</v>
      </c>
      <c r="J37" s="78"/>
    </row>
    <row r="38" spans="1:10" ht="15">
      <c r="A38" s="1"/>
      <c r="B38" s="125" t="s">
        <v>13</v>
      </c>
      <c r="C38" s="87">
        <v>4823114069215</v>
      </c>
      <c r="D38" s="87" t="s">
        <v>721</v>
      </c>
      <c r="E38" s="87">
        <v>119916</v>
      </c>
      <c r="F38" s="34" t="s">
        <v>722</v>
      </c>
      <c r="G38" s="179" t="s">
        <v>16</v>
      </c>
      <c r="H38" s="77">
        <v>75.95</v>
      </c>
      <c r="I38" s="233">
        <v>151.9</v>
      </c>
      <c r="J38" s="78"/>
    </row>
    <row r="39" spans="1:10" ht="15">
      <c r="A39" s="1"/>
      <c r="B39" s="125" t="s">
        <v>13</v>
      </c>
      <c r="C39" s="87">
        <v>4823114069208</v>
      </c>
      <c r="D39" s="87" t="s">
        <v>723</v>
      </c>
      <c r="E39" s="87">
        <v>119915</v>
      </c>
      <c r="F39" s="34" t="s">
        <v>724</v>
      </c>
      <c r="G39" s="35" t="s">
        <v>19</v>
      </c>
      <c r="H39" s="77">
        <v>75.95</v>
      </c>
      <c r="I39" s="235">
        <v>151.9</v>
      </c>
      <c r="J39" s="78"/>
    </row>
    <row r="40" spans="1:10" ht="15">
      <c r="A40" s="1"/>
      <c r="B40" s="236" t="s">
        <v>13</v>
      </c>
      <c r="C40" s="120">
        <v>4823114074561</v>
      </c>
      <c r="D40" s="120" t="s">
        <v>725</v>
      </c>
      <c r="E40" s="120">
        <v>155888</v>
      </c>
      <c r="F40" s="39" t="s">
        <v>726</v>
      </c>
      <c r="G40" s="42" t="s">
        <v>16</v>
      </c>
      <c r="H40" s="41">
        <v>80.522500000000008</v>
      </c>
      <c r="I40" s="122">
        <v>161.04500000000002</v>
      </c>
      <c r="J40" s="78"/>
    </row>
    <row r="41" spans="1:10" ht="15">
      <c r="A41" s="1"/>
      <c r="B41" s="237" t="s">
        <v>13</v>
      </c>
      <c r="C41" s="120">
        <v>4823114083228</v>
      </c>
      <c r="D41" s="120" t="s">
        <v>727</v>
      </c>
      <c r="E41" s="120">
        <v>155887</v>
      </c>
      <c r="F41" s="39" t="s">
        <v>726</v>
      </c>
      <c r="G41" s="42" t="s">
        <v>19</v>
      </c>
      <c r="H41" s="41">
        <v>80.522500000000008</v>
      </c>
      <c r="I41" s="122">
        <v>161.04500000000002</v>
      </c>
      <c r="J41" s="78"/>
    </row>
    <row r="42" spans="1:10" ht="15">
      <c r="A42" s="1"/>
      <c r="B42" s="13"/>
      <c r="C42" s="3"/>
      <c r="D42" s="3"/>
      <c r="E42" s="3"/>
      <c r="F42" s="3"/>
      <c r="G42" s="4"/>
      <c r="H42" s="5"/>
      <c r="I42" s="234"/>
      <c r="J42" s="1"/>
    </row>
    <row r="43" spans="1:10" ht="15">
      <c r="A43" s="1"/>
      <c r="B43" s="14" t="s">
        <v>728</v>
      </c>
      <c r="C43" s="13"/>
      <c r="D43" s="13"/>
      <c r="E43" s="13"/>
      <c r="F43" s="13"/>
      <c r="G43" s="13"/>
      <c r="H43" s="15"/>
      <c r="I43" s="234"/>
      <c r="J43" s="1"/>
    </row>
    <row r="44" spans="1:10" ht="15">
      <c r="A44" s="1"/>
      <c r="B44" s="13"/>
      <c r="C44" s="13"/>
      <c r="D44" s="13"/>
      <c r="E44" s="13"/>
      <c r="F44" s="13"/>
      <c r="G44" s="13"/>
      <c r="H44" s="15"/>
      <c r="I44" s="234"/>
      <c r="J44" s="1"/>
    </row>
    <row r="45" spans="1:10" ht="30">
      <c r="A45" s="1"/>
      <c r="B45" s="44" t="s">
        <v>4</v>
      </c>
      <c r="C45" s="17" t="s">
        <v>5</v>
      </c>
      <c r="D45" s="17" t="s">
        <v>6</v>
      </c>
      <c r="E45" s="18" t="s">
        <v>7</v>
      </c>
      <c r="F45" s="18" t="s">
        <v>8</v>
      </c>
      <c r="G45" s="44" t="s">
        <v>9</v>
      </c>
      <c r="H45" s="20" t="s">
        <v>11</v>
      </c>
      <c r="I45" s="57" t="s">
        <v>12</v>
      </c>
      <c r="J45" s="1"/>
    </row>
    <row r="46" spans="1:10" ht="15">
      <c r="A46" s="1"/>
      <c r="B46" s="238"/>
      <c r="C46" s="239">
        <v>4823114083273</v>
      </c>
      <c r="D46" s="239" t="s">
        <v>729</v>
      </c>
      <c r="E46" s="239">
        <v>155912</v>
      </c>
      <c r="F46" s="240" t="s">
        <v>730</v>
      </c>
      <c r="G46" s="42" t="s">
        <v>16</v>
      </c>
      <c r="H46" s="41">
        <v>56.017000000000003</v>
      </c>
      <c r="I46" s="122">
        <v>112.03400000000001</v>
      </c>
      <c r="J46" s="1"/>
    </row>
    <row r="47" spans="1:10" ht="15">
      <c r="A47" s="1"/>
      <c r="B47" s="238"/>
      <c r="C47" s="120">
        <v>4823114083266</v>
      </c>
      <c r="D47" s="120" t="s">
        <v>731</v>
      </c>
      <c r="E47" s="120">
        <v>155911</v>
      </c>
      <c r="F47" s="39" t="s">
        <v>730</v>
      </c>
      <c r="G47" s="42" t="s">
        <v>19</v>
      </c>
      <c r="H47" s="41">
        <v>56.017000000000003</v>
      </c>
      <c r="I47" s="122">
        <v>112.03400000000001</v>
      </c>
      <c r="J47" s="1"/>
    </row>
    <row r="48" spans="1:10" ht="15">
      <c r="A48" s="1"/>
      <c r="B48" s="14"/>
      <c r="C48" s="3"/>
      <c r="D48" s="3"/>
      <c r="E48" s="3"/>
      <c r="F48" s="3"/>
      <c r="G48" s="4"/>
      <c r="H48" s="5"/>
      <c r="I48" s="234"/>
      <c r="J48" s="1"/>
    </row>
    <row r="49" spans="1:10" ht="15">
      <c r="A49" s="1"/>
      <c r="B49" s="14" t="s">
        <v>732</v>
      </c>
      <c r="C49" s="3"/>
      <c r="D49" s="3"/>
      <c r="E49" s="3"/>
      <c r="F49" s="3"/>
      <c r="G49" s="4"/>
      <c r="H49" s="5"/>
      <c r="I49" s="5"/>
      <c r="J49" s="1"/>
    </row>
    <row r="50" spans="1:10" ht="15">
      <c r="A50" s="1"/>
      <c r="B50" s="13"/>
      <c r="C50" s="3"/>
      <c r="D50" s="3"/>
      <c r="E50" s="3"/>
      <c r="F50" s="3"/>
      <c r="G50" s="4"/>
      <c r="H50" s="5"/>
      <c r="I50" s="5"/>
      <c r="J50" s="1"/>
    </row>
    <row r="51" spans="1:10" ht="30">
      <c r="A51" s="1"/>
      <c r="B51" s="44" t="s">
        <v>4</v>
      </c>
      <c r="C51" s="55" t="s">
        <v>5</v>
      </c>
      <c r="D51" s="55" t="s">
        <v>6</v>
      </c>
      <c r="E51" s="56" t="s">
        <v>7</v>
      </c>
      <c r="F51" s="56" t="s">
        <v>8</v>
      </c>
      <c r="G51" s="16" t="s">
        <v>9</v>
      </c>
      <c r="H51" s="57" t="s">
        <v>11</v>
      </c>
      <c r="I51" s="57" t="s">
        <v>12</v>
      </c>
      <c r="J51" s="1"/>
    </row>
    <row r="52" spans="1:10" ht="15">
      <c r="A52" s="1"/>
      <c r="B52" s="125" t="s">
        <v>13</v>
      </c>
      <c r="C52" s="69">
        <v>4823114068430</v>
      </c>
      <c r="D52" s="69" t="s">
        <v>733</v>
      </c>
      <c r="E52" s="69">
        <v>118606</v>
      </c>
      <c r="F52" s="241" t="s">
        <v>734</v>
      </c>
      <c r="G52" s="35" t="s">
        <v>16</v>
      </c>
      <c r="H52" s="77">
        <v>124</v>
      </c>
      <c r="I52" s="233">
        <v>248</v>
      </c>
      <c r="J52" s="78"/>
    </row>
    <row r="53" spans="1:10" ht="15">
      <c r="A53" s="1"/>
      <c r="B53" s="125" t="s">
        <v>13</v>
      </c>
      <c r="C53" s="87">
        <v>4823114068423</v>
      </c>
      <c r="D53" s="87" t="s">
        <v>735</v>
      </c>
      <c r="E53" s="87">
        <v>118605</v>
      </c>
      <c r="F53" s="34" t="s">
        <v>734</v>
      </c>
      <c r="G53" s="35" t="s">
        <v>19</v>
      </c>
      <c r="H53" s="77">
        <v>124</v>
      </c>
      <c r="I53" s="233">
        <v>248</v>
      </c>
      <c r="J53" s="78"/>
    </row>
    <row r="54" spans="1:10" ht="15">
      <c r="A54" s="1"/>
      <c r="B54" s="125" t="s">
        <v>13</v>
      </c>
      <c r="C54" s="87">
        <v>4823114068447</v>
      </c>
      <c r="D54" s="87" t="s">
        <v>736</v>
      </c>
      <c r="E54" s="87">
        <v>118607</v>
      </c>
      <c r="F54" s="34" t="s">
        <v>734</v>
      </c>
      <c r="G54" s="181" t="s">
        <v>684</v>
      </c>
      <c r="H54" s="77">
        <v>124</v>
      </c>
      <c r="I54" s="233">
        <v>248</v>
      </c>
      <c r="J54" s="78"/>
    </row>
    <row r="55" spans="1:10" ht="15">
      <c r="A55" s="1"/>
      <c r="B55" s="125" t="s">
        <v>13</v>
      </c>
      <c r="C55" s="87">
        <v>4823114068379</v>
      </c>
      <c r="D55" s="87" t="s">
        <v>737</v>
      </c>
      <c r="E55" s="87">
        <v>118600</v>
      </c>
      <c r="F55" s="34" t="s">
        <v>738</v>
      </c>
      <c r="G55" s="35" t="s">
        <v>16</v>
      </c>
      <c r="H55" s="77">
        <v>133.30000000000001</v>
      </c>
      <c r="I55" s="233">
        <v>266.60000000000002</v>
      </c>
      <c r="J55" s="78"/>
    </row>
    <row r="56" spans="1:10" ht="15">
      <c r="A56" s="1"/>
      <c r="B56" s="125" t="s">
        <v>13</v>
      </c>
      <c r="C56" s="69">
        <v>4823114068362</v>
      </c>
      <c r="D56" s="69" t="s">
        <v>739</v>
      </c>
      <c r="E56" s="69">
        <v>118599</v>
      </c>
      <c r="F56" s="241" t="s">
        <v>740</v>
      </c>
      <c r="G56" s="35" t="s">
        <v>19</v>
      </c>
      <c r="H56" s="77">
        <v>133.30000000000001</v>
      </c>
      <c r="I56" s="233">
        <v>266.60000000000002</v>
      </c>
      <c r="J56" s="78"/>
    </row>
    <row r="57" spans="1:10" ht="15">
      <c r="A57" s="1"/>
      <c r="B57" s="125" t="s">
        <v>13</v>
      </c>
      <c r="C57" s="87">
        <v>4823114068386</v>
      </c>
      <c r="D57" s="87" t="s">
        <v>741</v>
      </c>
      <c r="E57" s="87">
        <v>118601</v>
      </c>
      <c r="F57" s="34" t="s">
        <v>740</v>
      </c>
      <c r="G57" s="181" t="s">
        <v>684</v>
      </c>
      <c r="H57" s="77">
        <v>133.30000000000001</v>
      </c>
      <c r="I57" s="233">
        <v>266.60000000000002</v>
      </c>
      <c r="J57" s="78"/>
    </row>
    <row r="58" spans="1:10" ht="15">
      <c r="A58" s="1"/>
      <c r="B58" s="125" t="s">
        <v>13</v>
      </c>
      <c r="C58" s="87">
        <v>4823114068409</v>
      </c>
      <c r="D58" s="87" t="s">
        <v>742</v>
      </c>
      <c r="E58" s="87">
        <v>118603</v>
      </c>
      <c r="F58" s="34" t="s">
        <v>743</v>
      </c>
      <c r="G58" s="35" t="s">
        <v>16</v>
      </c>
      <c r="H58" s="77">
        <v>105.4</v>
      </c>
      <c r="I58" s="233">
        <v>210.8</v>
      </c>
      <c r="J58" s="78"/>
    </row>
    <row r="59" spans="1:10" ht="15">
      <c r="A59" s="1"/>
      <c r="B59" s="125" t="s">
        <v>13</v>
      </c>
      <c r="C59" s="87">
        <v>4823114068393</v>
      </c>
      <c r="D59" s="87" t="s">
        <v>744</v>
      </c>
      <c r="E59" s="87">
        <v>118602</v>
      </c>
      <c r="F59" s="34" t="s">
        <v>745</v>
      </c>
      <c r="G59" s="35" t="s">
        <v>19</v>
      </c>
      <c r="H59" s="77">
        <v>105.4</v>
      </c>
      <c r="I59" s="233">
        <v>210.8</v>
      </c>
      <c r="J59" s="78"/>
    </row>
    <row r="60" spans="1:10" ht="15">
      <c r="A60" s="112"/>
      <c r="B60" s="242" t="s">
        <v>13</v>
      </c>
      <c r="C60" s="83">
        <v>4823114068416</v>
      </c>
      <c r="D60" s="83" t="s">
        <v>746</v>
      </c>
      <c r="E60" s="83">
        <v>118604</v>
      </c>
      <c r="F60" s="83" t="s">
        <v>745</v>
      </c>
      <c r="G60" s="35" t="s">
        <v>684</v>
      </c>
      <c r="H60" s="77">
        <v>105.4</v>
      </c>
      <c r="I60" s="233">
        <v>210.8</v>
      </c>
      <c r="J60" s="78"/>
    </row>
    <row r="61" spans="1:10" ht="15">
      <c r="A61" s="1"/>
      <c r="B61" s="219"/>
      <c r="C61" s="170"/>
      <c r="D61" s="170"/>
      <c r="E61" s="170"/>
      <c r="F61" s="170"/>
      <c r="G61" s="156"/>
      <c r="H61" s="234"/>
      <c r="I61" s="234"/>
      <c r="J61" s="1"/>
    </row>
    <row r="62" spans="1:10" ht="15">
      <c r="A62" s="1"/>
      <c r="B62" s="14" t="s">
        <v>188</v>
      </c>
      <c r="C62" s="3"/>
      <c r="D62" s="3"/>
      <c r="E62" s="3"/>
      <c r="F62" s="3"/>
      <c r="G62" s="4"/>
      <c r="H62" s="5"/>
      <c r="I62" s="5"/>
      <c r="J62" s="1"/>
    </row>
    <row r="63" spans="1:10" ht="15">
      <c r="A63" s="1"/>
      <c r="B63" s="13"/>
      <c r="C63" s="3"/>
      <c r="D63" s="3"/>
      <c r="E63" s="3"/>
      <c r="F63" s="3"/>
      <c r="G63" s="4"/>
      <c r="H63" s="5"/>
      <c r="I63" s="5"/>
      <c r="J63" s="1"/>
    </row>
    <row r="64" spans="1:10" ht="30">
      <c r="A64" s="1"/>
      <c r="B64" s="44" t="s">
        <v>4</v>
      </c>
      <c r="C64" s="55" t="s">
        <v>5</v>
      </c>
      <c r="D64" s="55" t="s">
        <v>6</v>
      </c>
      <c r="E64" s="56" t="s">
        <v>7</v>
      </c>
      <c r="F64" s="56" t="s">
        <v>8</v>
      </c>
      <c r="G64" s="16" t="s">
        <v>9</v>
      </c>
      <c r="H64" s="57" t="s">
        <v>11</v>
      </c>
      <c r="I64" s="57" t="s">
        <v>12</v>
      </c>
      <c r="J64" s="1"/>
    </row>
    <row r="65" spans="1:10" ht="15">
      <c r="A65" s="1"/>
      <c r="B65" s="125" t="s">
        <v>13</v>
      </c>
      <c r="C65" s="69">
        <v>4823114070617</v>
      </c>
      <c r="D65" s="69" t="s">
        <v>747</v>
      </c>
      <c r="E65" s="69">
        <v>124591</v>
      </c>
      <c r="F65" s="135" t="s">
        <v>748</v>
      </c>
      <c r="G65" s="179" t="s">
        <v>16</v>
      </c>
      <c r="H65" s="77">
        <v>103.85000000000001</v>
      </c>
      <c r="I65" s="233">
        <v>207.70000000000002</v>
      </c>
      <c r="J65" s="78"/>
    </row>
    <row r="66" spans="1:10" ht="15">
      <c r="A66" s="1"/>
      <c r="B66" s="125" t="s">
        <v>13</v>
      </c>
      <c r="C66" s="87">
        <v>4823114070624</v>
      </c>
      <c r="D66" s="87" t="s">
        <v>749</v>
      </c>
      <c r="E66" s="87">
        <v>124590</v>
      </c>
      <c r="F66" s="34" t="s">
        <v>748</v>
      </c>
      <c r="G66" s="35" t="s">
        <v>19</v>
      </c>
      <c r="H66" s="77">
        <v>103.85000000000001</v>
      </c>
      <c r="I66" s="233">
        <v>207.70000000000002</v>
      </c>
      <c r="J66" s="78"/>
    </row>
    <row r="67" spans="1:10" ht="15">
      <c r="A67" s="1"/>
      <c r="B67" s="2"/>
      <c r="C67" s="3"/>
      <c r="D67" s="3"/>
      <c r="E67" s="3"/>
      <c r="F67" s="3"/>
      <c r="G67" s="4"/>
      <c r="H67" s="5"/>
      <c r="I67" s="234"/>
      <c r="J67" s="1"/>
    </row>
    <row r="68" spans="1:10" ht="15">
      <c r="A68" s="1"/>
      <c r="B68" s="51" t="s">
        <v>750</v>
      </c>
      <c r="C68" s="220"/>
      <c r="D68" s="221"/>
      <c r="E68" s="221"/>
      <c r="F68" s="221"/>
      <c r="G68" s="221"/>
      <c r="H68" s="243"/>
      <c r="I68" s="243"/>
      <c r="J68" s="1"/>
    </row>
    <row r="69" spans="1:10" ht="15">
      <c r="A69" s="1"/>
      <c r="B69" s="221"/>
      <c r="C69" s="221"/>
      <c r="D69" s="221"/>
      <c r="E69" s="221"/>
      <c r="F69" s="221"/>
      <c r="G69" s="221"/>
      <c r="H69" s="243"/>
      <c r="I69" s="243"/>
      <c r="J69" s="1"/>
    </row>
    <row r="70" spans="1:10" ht="30">
      <c r="A70" s="1"/>
      <c r="B70" s="16" t="s">
        <v>4</v>
      </c>
      <c r="C70" s="55" t="s">
        <v>5</v>
      </c>
      <c r="D70" s="55" t="s">
        <v>6</v>
      </c>
      <c r="E70" s="56" t="s">
        <v>7</v>
      </c>
      <c r="F70" s="56" t="s">
        <v>8</v>
      </c>
      <c r="G70" s="16" t="s">
        <v>9</v>
      </c>
      <c r="H70" s="57" t="s">
        <v>11</v>
      </c>
      <c r="I70" s="57" t="s">
        <v>12</v>
      </c>
      <c r="J70" s="1"/>
    </row>
    <row r="71" spans="1:10" ht="15">
      <c r="A71" s="1"/>
      <c r="B71" s="182" t="s">
        <v>13</v>
      </c>
      <c r="C71" s="61">
        <v>4823114045219</v>
      </c>
      <c r="D71" s="61" t="s">
        <v>682</v>
      </c>
      <c r="E71" s="61">
        <v>60815</v>
      </c>
      <c r="F71" s="25" t="s">
        <v>683</v>
      </c>
      <c r="G71" s="175" t="s">
        <v>684</v>
      </c>
      <c r="H71" s="222">
        <v>65.25</v>
      </c>
      <c r="I71" s="222">
        <v>130.5</v>
      </c>
      <c r="J71" s="78"/>
    </row>
    <row r="72" spans="1:10" ht="15">
      <c r="A72" s="1"/>
      <c r="B72" s="182" t="s">
        <v>13</v>
      </c>
      <c r="C72" s="223" t="s">
        <v>685</v>
      </c>
      <c r="D72" s="224" t="s">
        <v>686</v>
      </c>
      <c r="E72" s="61">
        <v>83805</v>
      </c>
      <c r="F72" s="177" t="s">
        <v>683</v>
      </c>
      <c r="G72" s="178" t="s">
        <v>413</v>
      </c>
      <c r="H72" s="207">
        <v>65.25</v>
      </c>
      <c r="I72" s="207">
        <v>130.5</v>
      </c>
      <c r="J72" s="78"/>
    </row>
    <row r="73" spans="1:10" ht="15">
      <c r="A73" s="1"/>
      <c r="B73" s="2"/>
      <c r="C73" s="3"/>
      <c r="D73" s="3"/>
      <c r="E73" s="3"/>
      <c r="F73" s="3"/>
      <c r="G73" s="4"/>
      <c r="H73" s="5"/>
      <c r="I73" s="5"/>
      <c r="J73" s="1"/>
    </row>
    <row r="74" spans="1:10" ht="15" hidden="1">
      <c r="A74" s="1"/>
      <c r="B74" s="332" t="s">
        <v>751</v>
      </c>
      <c r="C74" s="297"/>
      <c r="D74" s="297"/>
      <c r="E74" s="297"/>
      <c r="F74" s="297"/>
      <c r="G74" s="297"/>
      <c r="H74" s="297"/>
      <c r="I74" s="297"/>
      <c r="J74" s="1"/>
    </row>
    <row r="75" spans="1:10" ht="15" hidden="1">
      <c r="A75" s="1"/>
      <c r="B75" s="333"/>
      <c r="C75" s="329"/>
      <c r="D75" s="329"/>
      <c r="E75" s="329"/>
      <c r="F75" s="329"/>
      <c r="G75" s="329"/>
      <c r="H75" s="329"/>
      <c r="I75" s="329"/>
      <c r="J75" s="1"/>
    </row>
    <row r="76" spans="1:10" ht="9.75" hidden="1" customHeight="1">
      <c r="A76" s="1"/>
      <c r="B76" s="299"/>
      <c r="C76" s="300"/>
      <c r="D76" s="300"/>
      <c r="E76" s="300"/>
      <c r="F76" s="300"/>
      <c r="G76" s="300"/>
      <c r="H76" s="300"/>
      <c r="I76" s="300"/>
      <c r="J76" s="1"/>
    </row>
    <row r="77" spans="1:10" ht="15" hidden="1">
      <c r="A77" s="1"/>
      <c r="B77" s="332" t="s">
        <v>752</v>
      </c>
      <c r="C77" s="297"/>
      <c r="D77" s="297"/>
      <c r="E77" s="297"/>
      <c r="F77" s="297"/>
      <c r="G77" s="297"/>
      <c r="H77" s="297"/>
      <c r="I77" s="297"/>
      <c r="J77" s="1"/>
    </row>
    <row r="78" spans="1:10" ht="15" hidden="1">
      <c r="A78" s="1"/>
      <c r="B78" s="333"/>
      <c r="C78" s="329"/>
      <c r="D78" s="329"/>
      <c r="E78" s="329"/>
      <c r="F78" s="329"/>
      <c r="G78" s="329"/>
      <c r="H78" s="329"/>
      <c r="I78" s="329"/>
      <c r="J78" s="1"/>
    </row>
    <row r="79" spans="1:10" ht="15" hidden="1">
      <c r="A79" s="1"/>
      <c r="B79" s="299"/>
      <c r="C79" s="300"/>
      <c r="D79" s="300"/>
      <c r="E79" s="300"/>
      <c r="F79" s="300"/>
      <c r="G79" s="300"/>
      <c r="H79" s="300"/>
      <c r="I79" s="300"/>
      <c r="J79" s="1"/>
    </row>
    <row r="80" spans="1:10" ht="15">
      <c r="A80" s="1"/>
      <c r="B80" s="2"/>
      <c r="C80" s="3"/>
      <c r="D80" s="3"/>
      <c r="E80" s="3"/>
      <c r="F80" s="3"/>
      <c r="G80" s="4"/>
      <c r="H80" s="5"/>
      <c r="I80" s="5"/>
      <c r="J80" s="1"/>
    </row>
  </sheetData>
  <mergeCells count="9">
    <mergeCell ref="B74:I76"/>
    <mergeCell ref="B77:I79"/>
    <mergeCell ref="B2:B3"/>
    <mergeCell ref="C2:E3"/>
    <mergeCell ref="H2:I2"/>
    <mergeCell ref="G3:I3"/>
    <mergeCell ref="H4:I4"/>
    <mergeCell ref="B5:E5"/>
    <mergeCell ref="B6:I6"/>
  </mergeCells>
  <hyperlinks>
    <hyperlink ref="B10" r:id="rId1" xr:uid="{00000000-0004-0000-0500-000000000000}"/>
    <hyperlink ref="B11" r:id="rId2" xr:uid="{00000000-0004-0000-0500-000001000000}"/>
    <hyperlink ref="B16" r:id="rId3" xr:uid="{00000000-0004-0000-0500-000002000000}"/>
    <hyperlink ref="B17" r:id="rId4" xr:uid="{00000000-0004-0000-0500-000003000000}"/>
    <hyperlink ref="B22" r:id="rId5" xr:uid="{00000000-0004-0000-0500-000004000000}"/>
    <hyperlink ref="D22" r:id="rId6" xr:uid="{00000000-0004-0000-0500-000005000000}"/>
    <hyperlink ref="B23" r:id="rId7" xr:uid="{00000000-0004-0000-0500-000006000000}"/>
    <hyperlink ref="B24" r:id="rId8" xr:uid="{00000000-0004-0000-0500-000007000000}"/>
    <hyperlink ref="B25" r:id="rId9" xr:uid="{00000000-0004-0000-0500-000008000000}"/>
    <hyperlink ref="B26" r:id="rId10" xr:uid="{00000000-0004-0000-0500-000009000000}"/>
    <hyperlink ref="B27" r:id="rId11" xr:uid="{00000000-0004-0000-0500-00000A000000}"/>
    <hyperlink ref="B32" r:id="rId12" xr:uid="{00000000-0004-0000-0500-00000B000000}"/>
    <hyperlink ref="B33" r:id="rId13" xr:uid="{00000000-0004-0000-0500-00000C000000}"/>
    <hyperlink ref="B34" r:id="rId14" xr:uid="{00000000-0004-0000-0500-00000D000000}"/>
    <hyperlink ref="B35" r:id="rId15" xr:uid="{00000000-0004-0000-0500-00000E000000}"/>
    <hyperlink ref="B36" r:id="rId16" xr:uid="{00000000-0004-0000-0500-00000F000000}"/>
    <hyperlink ref="B37" r:id="rId17" xr:uid="{00000000-0004-0000-0500-000010000000}"/>
    <hyperlink ref="B38" r:id="rId18" xr:uid="{00000000-0004-0000-0500-000011000000}"/>
    <hyperlink ref="B39" r:id="rId19" xr:uid="{00000000-0004-0000-0500-000012000000}"/>
    <hyperlink ref="B40" r:id="rId20" xr:uid="{00000000-0004-0000-0500-000013000000}"/>
    <hyperlink ref="B41" r:id="rId21" xr:uid="{00000000-0004-0000-0500-000014000000}"/>
    <hyperlink ref="B52" r:id="rId22" xr:uid="{00000000-0004-0000-0500-000015000000}"/>
    <hyperlink ref="B53" r:id="rId23" xr:uid="{00000000-0004-0000-0500-000016000000}"/>
    <hyperlink ref="B54" r:id="rId24" xr:uid="{00000000-0004-0000-0500-000017000000}"/>
    <hyperlink ref="B55" r:id="rId25" xr:uid="{00000000-0004-0000-0500-000018000000}"/>
    <hyperlink ref="B56" r:id="rId26" xr:uid="{00000000-0004-0000-0500-000019000000}"/>
    <hyperlink ref="B57" r:id="rId27" xr:uid="{00000000-0004-0000-0500-00001A000000}"/>
    <hyperlink ref="B58" r:id="rId28" xr:uid="{00000000-0004-0000-0500-00001B000000}"/>
    <hyperlink ref="B59" r:id="rId29" xr:uid="{00000000-0004-0000-0500-00001C000000}"/>
    <hyperlink ref="B60" r:id="rId30" xr:uid="{00000000-0004-0000-0500-00001D000000}"/>
    <hyperlink ref="B65" r:id="rId31" xr:uid="{00000000-0004-0000-0500-00001E000000}"/>
    <hyperlink ref="B66" r:id="rId32" xr:uid="{00000000-0004-0000-0500-00001F000000}"/>
    <hyperlink ref="B71" r:id="rId33" xr:uid="{00000000-0004-0000-0500-000020000000}"/>
    <hyperlink ref="B72" r:id="rId34" xr:uid="{00000000-0004-0000-0500-000021000000}"/>
  </hyperlinks>
  <pageMargins left="0.7" right="0.7" top="0.75" bottom="0.75" header="0.3" footer="0.3"/>
  <drawing r:id="rId3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423"/>
  <sheetViews>
    <sheetView workbookViewId="0">
      <selection activeCell="J1" sqref="J1:J1048576"/>
    </sheetView>
  </sheetViews>
  <sheetFormatPr baseColWidth="10" defaultColWidth="12.5703125" defaultRowHeight="15.75" customHeight="1"/>
  <cols>
    <col min="1" max="1" width="3.42578125" customWidth="1"/>
    <col min="3" max="3" width="15.5703125" customWidth="1"/>
    <col min="4" max="4" width="13.5703125" customWidth="1"/>
    <col min="5" max="5" width="9.42578125" customWidth="1"/>
    <col min="6" max="6" width="37.85546875" customWidth="1"/>
    <col min="7" max="7" width="11.42578125" customWidth="1"/>
    <col min="8" max="8" width="12.85546875" customWidth="1"/>
    <col min="9" max="9" width="15.140625" customWidth="1"/>
    <col min="10" max="10" width="3" customWidth="1"/>
  </cols>
  <sheetData>
    <row r="1" spans="1:10" ht="15.75" customHeight="1">
      <c r="A1" s="1"/>
      <c r="B1" s="2"/>
      <c r="C1" s="3"/>
      <c r="D1" s="3"/>
      <c r="E1" s="3"/>
      <c r="F1" s="3"/>
      <c r="G1" s="4"/>
      <c r="H1" s="4"/>
      <c r="I1" s="4"/>
      <c r="J1" s="1"/>
    </row>
    <row r="2" spans="1:10" ht="15.75" customHeight="1">
      <c r="A2" s="1"/>
      <c r="B2" s="294"/>
      <c r="C2" s="296" t="s">
        <v>0</v>
      </c>
      <c r="D2" s="297"/>
      <c r="E2" s="298"/>
      <c r="F2" s="3"/>
      <c r="G2" s="163"/>
      <c r="H2" s="306"/>
      <c r="I2" s="306"/>
      <c r="J2" s="104"/>
    </row>
    <row r="3" spans="1:10" ht="15.75" customHeight="1">
      <c r="A3" s="1"/>
      <c r="B3" s="295"/>
      <c r="C3" s="299"/>
      <c r="D3" s="300"/>
      <c r="E3" s="301"/>
      <c r="F3" s="3"/>
      <c r="G3" s="302"/>
      <c r="H3" s="306"/>
      <c r="I3" s="306"/>
      <c r="J3" s="104"/>
    </row>
    <row r="4" spans="1:10" ht="15.75" customHeight="1">
      <c r="A4" s="1"/>
      <c r="B4" s="2"/>
      <c r="C4" s="3"/>
      <c r="D4" s="3"/>
      <c r="E4" s="3"/>
      <c r="F4" s="3"/>
      <c r="G4" s="163"/>
      <c r="H4" s="306"/>
      <c r="I4" s="303"/>
      <c r="J4" s="104"/>
    </row>
    <row r="5" spans="1:10" ht="15.75" customHeight="1">
      <c r="A5" s="2"/>
      <c r="B5" s="305" t="s">
        <v>1208</v>
      </c>
      <c r="C5" s="306"/>
      <c r="D5" s="306"/>
      <c r="E5" s="303"/>
      <c r="F5" s="9"/>
      <c r="G5" s="10"/>
      <c r="H5" s="10"/>
      <c r="I5" s="10"/>
      <c r="J5" s="2"/>
    </row>
    <row r="6" spans="1:10" ht="15.75" customHeight="1">
      <c r="A6" s="43"/>
      <c r="B6" s="51"/>
      <c r="C6" s="9"/>
      <c r="D6" s="9"/>
      <c r="E6" s="9"/>
      <c r="F6" s="9"/>
      <c r="G6" s="10"/>
      <c r="H6" s="10"/>
      <c r="I6" s="97"/>
      <c r="J6" s="98"/>
    </row>
    <row r="7" spans="1:10" ht="15.75" customHeight="1">
      <c r="A7" s="22"/>
      <c r="B7" s="14" t="s">
        <v>753</v>
      </c>
      <c r="C7" s="50"/>
      <c r="D7" s="50"/>
      <c r="E7" s="13"/>
      <c r="F7" s="13"/>
      <c r="G7" s="13"/>
      <c r="H7" s="13"/>
      <c r="I7" s="94"/>
      <c r="J7" s="94"/>
    </row>
    <row r="8" spans="1:10" ht="12.75">
      <c r="A8" s="22"/>
      <c r="B8" s="13"/>
      <c r="C8" s="50"/>
      <c r="D8" s="50"/>
      <c r="E8" s="13"/>
      <c r="F8" s="13"/>
      <c r="G8" s="13"/>
      <c r="H8" s="13"/>
      <c r="I8" s="94"/>
      <c r="J8" s="94"/>
    </row>
    <row r="9" spans="1:10" ht="15.75" customHeight="1">
      <c r="A9" s="13"/>
      <c r="B9" s="16" t="s">
        <v>4</v>
      </c>
      <c r="C9" s="17" t="s">
        <v>5</v>
      </c>
      <c r="D9" s="157" t="s">
        <v>6</v>
      </c>
      <c r="E9" s="158" t="s">
        <v>7</v>
      </c>
      <c r="F9" s="158" t="s">
        <v>8</v>
      </c>
      <c r="G9" s="19" t="s">
        <v>9</v>
      </c>
      <c r="H9" s="20" t="s">
        <v>11</v>
      </c>
      <c r="I9" s="21" t="s">
        <v>12</v>
      </c>
      <c r="J9" s="94"/>
    </row>
    <row r="10" spans="1:10" ht="15.75" customHeight="1">
      <c r="A10" s="22"/>
      <c r="B10" s="242" t="s">
        <v>13</v>
      </c>
      <c r="C10" s="24">
        <v>4823114015380</v>
      </c>
      <c r="D10" s="25" t="s">
        <v>754</v>
      </c>
      <c r="E10" s="24">
        <f ca="1">IFERROR(__xludf.DUMMYFUNCTION("VLOOKUP(SPLIT(D10,"".""),SPLIT(D10,"".""),1)"),38254)</f>
        <v>38254</v>
      </c>
      <c r="F10" s="25" t="s">
        <v>755</v>
      </c>
      <c r="G10" s="26" t="s">
        <v>16</v>
      </c>
      <c r="H10" s="201">
        <v>34.18</v>
      </c>
      <c r="I10" s="202">
        <v>68.36</v>
      </c>
      <c r="J10" s="94"/>
    </row>
    <row r="11" spans="1:10" ht="15.75" customHeight="1">
      <c r="A11" s="22"/>
      <c r="B11" s="244" t="s">
        <v>13</v>
      </c>
      <c r="C11" s="24">
        <v>4823114015373</v>
      </c>
      <c r="D11" s="25" t="s">
        <v>756</v>
      </c>
      <c r="E11" s="24">
        <f ca="1">IFERROR(__xludf.DUMMYFUNCTION("VLOOKUP(SPLIT(D11,"".""),SPLIT(D11,"".""),1)"),38255)</f>
        <v>38255</v>
      </c>
      <c r="F11" s="25" t="s">
        <v>755</v>
      </c>
      <c r="G11" s="26" t="s">
        <v>19</v>
      </c>
      <c r="H11" s="203">
        <v>34.18</v>
      </c>
      <c r="I11" s="204">
        <v>68.36</v>
      </c>
      <c r="J11" s="94"/>
    </row>
    <row r="12" spans="1:10" ht="12.75">
      <c r="A12" s="22"/>
      <c r="B12" s="219"/>
      <c r="C12" s="221"/>
      <c r="D12" s="221"/>
      <c r="E12" s="219"/>
      <c r="F12" s="219"/>
      <c r="G12" s="219"/>
      <c r="H12" s="219"/>
      <c r="I12" s="245"/>
      <c r="J12" s="94"/>
    </row>
    <row r="13" spans="1:10" ht="15.75" customHeight="1">
      <c r="A13" s="22"/>
      <c r="B13" s="14" t="s">
        <v>757</v>
      </c>
      <c r="C13" s="50"/>
      <c r="D13" s="50"/>
      <c r="E13" s="13"/>
      <c r="F13" s="13"/>
      <c r="G13" s="13"/>
      <c r="H13" s="13"/>
      <c r="I13" s="94"/>
      <c r="J13" s="94"/>
    </row>
    <row r="14" spans="1:10" ht="12.75">
      <c r="A14" s="22"/>
      <c r="B14" s="13"/>
      <c r="C14" s="50"/>
      <c r="D14" s="50"/>
      <c r="E14" s="13"/>
      <c r="F14" s="13"/>
      <c r="G14" s="13"/>
      <c r="H14" s="13"/>
      <c r="I14" s="94"/>
      <c r="J14" s="94"/>
    </row>
    <row r="15" spans="1:10" ht="15.75" customHeight="1">
      <c r="A15" s="13"/>
      <c r="B15" s="16" t="s">
        <v>4</v>
      </c>
      <c r="C15" s="17" t="s">
        <v>5</v>
      </c>
      <c r="D15" s="157" t="s">
        <v>6</v>
      </c>
      <c r="E15" s="158" t="s">
        <v>7</v>
      </c>
      <c r="F15" s="158" t="s">
        <v>8</v>
      </c>
      <c r="G15" s="19" t="s">
        <v>9</v>
      </c>
      <c r="H15" s="20" t="s">
        <v>11</v>
      </c>
      <c r="I15" s="21" t="s">
        <v>12</v>
      </c>
      <c r="J15" s="94"/>
    </row>
    <row r="16" spans="1:10" ht="15.75" customHeight="1">
      <c r="A16" s="22"/>
      <c r="B16" s="242" t="s">
        <v>13</v>
      </c>
      <c r="C16" s="24">
        <v>4823114030994</v>
      </c>
      <c r="D16" s="25" t="s">
        <v>758</v>
      </c>
      <c r="E16" s="24">
        <f ca="1">IFERROR(__xludf.DUMMYFUNCTION("VLOOKUP(SPLIT(D16,"".""),SPLIT(D16,"".""),1)"),52270)</f>
        <v>52270</v>
      </c>
      <c r="F16" s="25" t="s">
        <v>759</v>
      </c>
      <c r="G16" s="26" t="s">
        <v>16</v>
      </c>
      <c r="H16" s="201">
        <v>148.44</v>
      </c>
      <c r="I16" s="202">
        <v>296.89</v>
      </c>
      <c r="J16" s="94"/>
    </row>
    <row r="17" spans="1:10" ht="15.75" customHeight="1">
      <c r="A17" s="22"/>
      <c r="B17" s="244" t="s">
        <v>13</v>
      </c>
      <c r="C17" s="24">
        <v>4823114030987</v>
      </c>
      <c r="D17" s="25" t="s">
        <v>760</v>
      </c>
      <c r="E17" s="24">
        <f ca="1">IFERROR(__xludf.DUMMYFUNCTION("VLOOKUP(SPLIT(D17,"".""),SPLIT(D17,"".""),1)"),52271)</f>
        <v>52271</v>
      </c>
      <c r="F17" s="25" t="s">
        <v>759</v>
      </c>
      <c r="G17" s="26" t="s">
        <v>19</v>
      </c>
      <c r="H17" s="203">
        <v>148.44</v>
      </c>
      <c r="I17" s="204">
        <v>296.89</v>
      </c>
      <c r="J17" s="94"/>
    </row>
    <row r="18" spans="1:10" ht="15.75" customHeight="1">
      <c r="A18" s="22"/>
      <c r="B18" s="244" t="s">
        <v>13</v>
      </c>
      <c r="C18" s="24">
        <v>4823114030970</v>
      </c>
      <c r="D18" s="246" t="s">
        <v>761</v>
      </c>
      <c r="E18" s="24">
        <f ca="1">IFERROR(__xludf.DUMMYFUNCTION("VLOOKUP(SPLIT(D18,"".""),SPLIT(D18,"".""),1)"),52266)</f>
        <v>52266</v>
      </c>
      <c r="F18" s="25" t="s">
        <v>762</v>
      </c>
      <c r="G18" s="26" t="s">
        <v>16</v>
      </c>
      <c r="H18" s="203">
        <v>196.02</v>
      </c>
      <c r="I18" s="204">
        <v>392.04</v>
      </c>
      <c r="J18" s="94"/>
    </row>
    <row r="19" spans="1:10" ht="15.75" customHeight="1">
      <c r="A19" s="22"/>
      <c r="B19" s="244" t="s">
        <v>13</v>
      </c>
      <c r="C19" s="24">
        <v>4823114030963</v>
      </c>
      <c r="D19" s="25" t="s">
        <v>763</v>
      </c>
      <c r="E19" s="24">
        <f ca="1">IFERROR(__xludf.DUMMYFUNCTION("VLOOKUP(SPLIT(D19,"".""),SPLIT(D19,"".""),1)"),52267)</f>
        <v>52267</v>
      </c>
      <c r="F19" s="25" t="s">
        <v>762</v>
      </c>
      <c r="G19" s="26" t="s">
        <v>19</v>
      </c>
      <c r="H19" s="203">
        <v>196.02</v>
      </c>
      <c r="I19" s="204">
        <v>392.04</v>
      </c>
      <c r="J19" s="94"/>
    </row>
    <row r="20" spans="1:10" ht="15.75" customHeight="1">
      <c r="A20" s="22"/>
      <c r="B20" s="244" t="s">
        <v>13</v>
      </c>
      <c r="C20" s="24">
        <v>4823114030956</v>
      </c>
      <c r="D20" s="25" t="s">
        <v>764</v>
      </c>
      <c r="E20" s="24">
        <f ca="1">IFERROR(__xludf.DUMMYFUNCTION("VLOOKUP(SPLIT(D20,"".""),SPLIT(D20,"".""),1)"),52268)</f>
        <v>52268</v>
      </c>
      <c r="F20" s="25" t="s">
        <v>765</v>
      </c>
      <c r="G20" s="26" t="s">
        <v>16</v>
      </c>
      <c r="H20" s="203">
        <v>167.48</v>
      </c>
      <c r="I20" s="204">
        <v>334.95</v>
      </c>
      <c r="J20" s="94"/>
    </row>
    <row r="21" spans="1:10" ht="15.75" customHeight="1">
      <c r="A21" s="22"/>
      <c r="B21" s="126" t="s">
        <v>13</v>
      </c>
      <c r="C21" s="24">
        <v>4823114030949</v>
      </c>
      <c r="D21" s="25" t="s">
        <v>766</v>
      </c>
      <c r="E21" s="24">
        <f ca="1">IFERROR(__xludf.DUMMYFUNCTION("VLOOKUP(SPLIT(D21,"".""),SPLIT(D21,"".""),1)"),52269)</f>
        <v>52269</v>
      </c>
      <c r="F21" s="25" t="s">
        <v>765</v>
      </c>
      <c r="G21" s="26" t="s">
        <v>19</v>
      </c>
      <c r="H21" s="203">
        <v>167.48</v>
      </c>
      <c r="I21" s="204">
        <v>334.95</v>
      </c>
      <c r="J21" s="94"/>
    </row>
    <row r="22" spans="1:10" ht="15.75" customHeight="1">
      <c r="A22" s="43"/>
      <c r="B22" s="51"/>
      <c r="C22" s="9"/>
      <c r="D22" s="9"/>
      <c r="E22" s="9"/>
      <c r="F22" s="9"/>
      <c r="G22" s="10"/>
      <c r="H22" s="10"/>
      <c r="I22" s="97"/>
      <c r="J22" s="98"/>
    </row>
    <row r="23" spans="1:10" ht="15.75" customHeight="1">
      <c r="A23" s="43"/>
      <c r="B23" s="51" t="s">
        <v>767</v>
      </c>
      <c r="C23" s="96"/>
      <c r="D23" s="96"/>
      <c r="E23" s="9"/>
      <c r="F23" s="9"/>
      <c r="G23" s="10"/>
      <c r="H23" s="10"/>
      <c r="I23" s="97"/>
      <c r="J23" s="98"/>
    </row>
    <row r="24" spans="1:10" ht="15.75" customHeight="1">
      <c r="A24" s="43"/>
      <c r="B24" s="2"/>
      <c r="C24" s="96"/>
      <c r="D24" s="96"/>
      <c r="E24" s="9"/>
      <c r="F24" s="9"/>
      <c r="G24" s="10"/>
      <c r="H24" s="10"/>
      <c r="I24" s="97"/>
      <c r="J24" s="98"/>
    </row>
    <row r="25" spans="1:10" ht="15.75" customHeight="1">
      <c r="A25" s="13"/>
      <c r="B25" s="16" t="s">
        <v>4</v>
      </c>
      <c r="C25" s="55" t="s">
        <v>5</v>
      </c>
      <c r="D25" s="99" t="s">
        <v>6</v>
      </c>
      <c r="E25" s="100" t="s">
        <v>7</v>
      </c>
      <c r="F25" s="100" t="s">
        <v>8</v>
      </c>
      <c r="G25" s="101" t="s">
        <v>9</v>
      </c>
      <c r="H25" s="58" t="s">
        <v>11</v>
      </c>
      <c r="I25" s="59" t="s">
        <v>12</v>
      </c>
      <c r="J25" s="143"/>
    </row>
    <row r="26" spans="1:10" ht="15.75" customHeight="1">
      <c r="A26" s="43"/>
      <c r="B26" s="125" t="s">
        <v>13</v>
      </c>
      <c r="C26" s="61">
        <v>4823114015434</v>
      </c>
      <c r="D26" s="61" t="s">
        <v>768</v>
      </c>
      <c r="E26" s="61">
        <f ca="1">IFERROR(__xludf.DUMMYFUNCTION("VLOOKUP(SPLIT(D26,"".""),SPLIT(D26,"".""),1)"),38189)</f>
        <v>38189</v>
      </c>
      <c r="F26" s="61" t="s">
        <v>769</v>
      </c>
      <c r="G26" s="63" t="s">
        <v>25</v>
      </c>
      <c r="H26" s="201">
        <v>29.77</v>
      </c>
      <c r="I26" s="202">
        <v>59.54</v>
      </c>
      <c r="J26" s="79"/>
    </row>
    <row r="27" spans="1:10" ht="15.75" customHeight="1">
      <c r="A27" s="43"/>
      <c r="B27" s="126" t="s">
        <v>13</v>
      </c>
      <c r="C27" s="61">
        <v>4823114015854</v>
      </c>
      <c r="D27" s="61" t="s">
        <v>770</v>
      </c>
      <c r="E27" s="61">
        <f ca="1">IFERROR(__xludf.DUMMYFUNCTION("VLOOKUP(SPLIT(D27,"".""),SPLIT(D27,"".""),1)"),38204)</f>
        <v>38204</v>
      </c>
      <c r="F27" s="86" t="s">
        <v>771</v>
      </c>
      <c r="G27" s="63" t="s">
        <v>25</v>
      </c>
      <c r="H27" s="203">
        <v>29.77</v>
      </c>
      <c r="I27" s="204">
        <v>59.54</v>
      </c>
      <c r="J27" s="79"/>
    </row>
    <row r="28" spans="1:10" ht="15.75" customHeight="1">
      <c r="A28" s="43"/>
      <c r="B28" s="126" t="s">
        <v>13</v>
      </c>
      <c r="C28" s="61">
        <v>4823114018589</v>
      </c>
      <c r="D28" s="61" t="s">
        <v>772</v>
      </c>
      <c r="E28" s="61">
        <f ca="1">IFERROR(__xludf.DUMMYFUNCTION("VLOOKUP(SPLIT(D28,"".""),SPLIT(D28,"".""),1)"),51170)</f>
        <v>51170</v>
      </c>
      <c r="F28" s="61" t="s">
        <v>773</v>
      </c>
      <c r="G28" s="63" t="s">
        <v>16</v>
      </c>
      <c r="H28" s="203">
        <v>6.09</v>
      </c>
      <c r="I28" s="204">
        <v>12.18</v>
      </c>
      <c r="J28" s="79"/>
    </row>
    <row r="29" spans="1:10" ht="15.75" customHeight="1">
      <c r="A29" s="43"/>
      <c r="B29" s="51"/>
      <c r="C29" s="9"/>
      <c r="D29" s="9"/>
      <c r="E29" s="9"/>
      <c r="F29" s="9"/>
      <c r="G29" s="10"/>
      <c r="H29" s="10"/>
      <c r="I29" s="97"/>
      <c r="J29" s="98"/>
    </row>
    <row r="30" spans="1:10" ht="15.75" customHeight="1">
      <c r="A30" s="2"/>
      <c r="B30" s="51" t="s">
        <v>774</v>
      </c>
      <c r="C30" s="9"/>
      <c r="D30" s="9"/>
      <c r="E30" s="9"/>
      <c r="F30" s="9"/>
      <c r="G30" s="10"/>
      <c r="H30" s="10"/>
      <c r="I30" s="10"/>
      <c r="J30" s="2"/>
    </row>
    <row r="31" spans="1:10" ht="15.75" customHeight="1">
      <c r="A31" s="2"/>
      <c r="B31" s="2"/>
      <c r="C31" s="9"/>
      <c r="D31" s="9"/>
      <c r="E31" s="9"/>
      <c r="F31" s="9"/>
      <c r="G31" s="10"/>
      <c r="H31" s="10"/>
      <c r="I31" s="10"/>
      <c r="J31" s="2"/>
    </row>
    <row r="32" spans="1:10" ht="15.75" customHeight="1">
      <c r="A32" s="13"/>
      <c r="B32" s="16" t="s">
        <v>4</v>
      </c>
      <c r="C32" s="55" t="s">
        <v>5</v>
      </c>
      <c r="D32" s="99" t="s">
        <v>6</v>
      </c>
      <c r="E32" s="100" t="s">
        <v>7</v>
      </c>
      <c r="F32" s="100" t="s">
        <v>8</v>
      </c>
      <c r="G32" s="101" t="s">
        <v>9</v>
      </c>
      <c r="H32" s="58" t="s">
        <v>11</v>
      </c>
      <c r="I32" s="59" t="s">
        <v>12</v>
      </c>
      <c r="J32" s="143"/>
    </row>
    <row r="33" spans="1:10" ht="15.75" customHeight="1">
      <c r="A33" s="43"/>
      <c r="B33" s="125" t="s">
        <v>13</v>
      </c>
      <c r="C33" s="61">
        <v>4823114030659</v>
      </c>
      <c r="D33" s="61" t="s">
        <v>775</v>
      </c>
      <c r="E33" s="61">
        <f ca="1">IFERROR(__xludf.DUMMYFUNCTION("VLOOKUP(SPLIT(D33,"".""),SPLIT(D33,"".""),1)"),52272)</f>
        <v>52272</v>
      </c>
      <c r="F33" s="61" t="s">
        <v>776</v>
      </c>
      <c r="G33" s="63" t="s">
        <v>16</v>
      </c>
      <c r="H33" s="201">
        <v>209.34</v>
      </c>
      <c r="I33" s="202">
        <v>418.69</v>
      </c>
      <c r="J33" s="79"/>
    </row>
    <row r="34" spans="1:10" ht="15.75" customHeight="1">
      <c r="A34" s="43"/>
      <c r="B34" s="126" t="s">
        <v>13</v>
      </c>
      <c r="C34" s="61">
        <v>4823114030642</v>
      </c>
      <c r="D34" s="61" t="s">
        <v>777</v>
      </c>
      <c r="E34" s="61">
        <f ca="1">IFERROR(__xludf.DUMMYFUNCTION("VLOOKUP(SPLIT(D34,"".""),SPLIT(D34,"".""),1)"),52273)</f>
        <v>52273</v>
      </c>
      <c r="F34" s="61" t="s">
        <v>776</v>
      </c>
      <c r="G34" s="63" t="s">
        <v>19</v>
      </c>
      <c r="H34" s="203">
        <v>209.34</v>
      </c>
      <c r="I34" s="204">
        <v>418.69</v>
      </c>
      <c r="J34" s="79"/>
    </row>
    <row r="35" spans="1:10" ht="15.75" customHeight="1">
      <c r="A35" s="2"/>
      <c r="B35" s="74"/>
      <c r="C35" s="75"/>
      <c r="D35" s="75"/>
      <c r="E35" s="75"/>
      <c r="F35" s="75"/>
      <c r="G35" s="76"/>
      <c r="H35" s="76"/>
      <c r="I35" s="76"/>
      <c r="J35" s="2"/>
    </row>
    <row r="36" spans="1:10" ht="15.75" customHeight="1">
      <c r="A36" s="2"/>
      <c r="B36" s="51" t="s">
        <v>778</v>
      </c>
      <c r="C36" s="9"/>
      <c r="D36" s="9"/>
      <c r="E36" s="9"/>
      <c r="F36" s="9"/>
      <c r="G36" s="10"/>
      <c r="H36" s="10"/>
      <c r="I36" s="10"/>
      <c r="J36" s="2"/>
    </row>
    <row r="37" spans="1:10" ht="15.75" customHeight="1">
      <c r="A37" s="2"/>
      <c r="B37" s="2"/>
      <c r="C37" s="9"/>
      <c r="D37" s="9"/>
      <c r="E37" s="9"/>
      <c r="F37" s="9"/>
      <c r="G37" s="10"/>
      <c r="H37" s="10"/>
      <c r="I37" s="10"/>
      <c r="J37" s="2"/>
    </row>
    <row r="38" spans="1:10" ht="15.75" customHeight="1">
      <c r="A38" s="13"/>
      <c r="B38" s="16" t="s">
        <v>4</v>
      </c>
      <c r="C38" s="55" t="s">
        <v>5</v>
      </c>
      <c r="D38" s="99" t="s">
        <v>6</v>
      </c>
      <c r="E38" s="100" t="s">
        <v>7</v>
      </c>
      <c r="F38" s="100" t="s">
        <v>8</v>
      </c>
      <c r="G38" s="101" t="s">
        <v>9</v>
      </c>
      <c r="H38" s="58" t="s">
        <v>11</v>
      </c>
      <c r="I38" s="59" t="s">
        <v>12</v>
      </c>
      <c r="J38" s="143"/>
    </row>
    <row r="39" spans="1:10" ht="15.75" customHeight="1">
      <c r="A39" s="43"/>
      <c r="B39" s="125" t="s">
        <v>13</v>
      </c>
      <c r="C39" s="61">
        <v>4823114015809</v>
      </c>
      <c r="D39" s="61" t="s">
        <v>779</v>
      </c>
      <c r="E39" s="61">
        <f ca="1">IFERROR(__xludf.DUMMYFUNCTION("VLOOKUP(SPLIT(D39,"".""),SPLIT(D39,"".""),1)"),38210)</f>
        <v>38210</v>
      </c>
      <c r="F39" s="61" t="s">
        <v>780</v>
      </c>
      <c r="G39" s="63" t="s">
        <v>16</v>
      </c>
      <c r="H39" s="201">
        <v>51.82</v>
      </c>
      <c r="I39" s="202">
        <v>103.64</v>
      </c>
      <c r="J39" s="79"/>
    </row>
    <row r="40" spans="1:10" ht="15.75" customHeight="1">
      <c r="A40" s="43"/>
      <c r="B40" s="125" t="s">
        <v>13</v>
      </c>
      <c r="C40" s="61">
        <v>4823114015793</v>
      </c>
      <c r="D40" s="61" t="s">
        <v>781</v>
      </c>
      <c r="E40" s="61">
        <f ca="1">IFERROR(__xludf.DUMMYFUNCTION("VLOOKUP(SPLIT(D40,"".""),SPLIT(D40,"".""),1)"),38209)</f>
        <v>38209</v>
      </c>
      <c r="F40" s="61" t="s">
        <v>780</v>
      </c>
      <c r="G40" s="63" t="s">
        <v>16</v>
      </c>
      <c r="H40" s="203">
        <v>51.82</v>
      </c>
      <c r="I40" s="204">
        <v>103.64</v>
      </c>
      <c r="J40" s="79"/>
    </row>
    <row r="41" spans="1:10" ht="15.75" customHeight="1">
      <c r="A41" s="43"/>
      <c r="B41" s="51"/>
      <c r="C41" s="9"/>
      <c r="D41" s="9"/>
      <c r="E41" s="9"/>
      <c r="F41" s="9"/>
      <c r="G41" s="10"/>
      <c r="H41" s="10"/>
      <c r="I41" s="97"/>
      <c r="J41" s="98"/>
    </row>
    <row r="42" spans="1:10" ht="15.75" customHeight="1">
      <c r="A42" s="43"/>
      <c r="B42" s="51" t="s">
        <v>782</v>
      </c>
      <c r="C42" s="9"/>
      <c r="D42" s="9"/>
      <c r="E42" s="9"/>
      <c r="F42" s="9"/>
      <c r="G42" s="10"/>
      <c r="H42" s="10"/>
      <c r="I42" s="97"/>
      <c r="J42" s="98"/>
    </row>
    <row r="43" spans="1:10" ht="15.75" customHeight="1">
      <c r="A43" s="43"/>
      <c r="B43" s="335" t="s">
        <v>783</v>
      </c>
      <c r="C43" s="297"/>
      <c r="D43" s="297"/>
      <c r="E43" s="297"/>
      <c r="F43" s="297"/>
      <c r="G43" s="297"/>
      <c r="H43" s="298"/>
      <c r="I43" s="97"/>
      <c r="J43" s="98"/>
    </row>
    <row r="44" spans="1:10" ht="15.75" customHeight="1">
      <c r="A44" s="43"/>
      <c r="B44" s="299"/>
      <c r="C44" s="300"/>
      <c r="D44" s="300"/>
      <c r="E44" s="300"/>
      <c r="F44" s="300"/>
      <c r="G44" s="300"/>
      <c r="H44" s="301"/>
      <c r="I44" s="97"/>
      <c r="J44" s="98"/>
    </row>
    <row r="45" spans="1:10" ht="15.75" customHeight="1">
      <c r="A45" s="43"/>
      <c r="B45" s="2"/>
      <c r="C45" s="96"/>
      <c r="D45" s="96"/>
      <c r="E45" s="9"/>
      <c r="F45" s="9"/>
      <c r="G45" s="10"/>
      <c r="H45" s="10"/>
      <c r="I45" s="97"/>
      <c r="J45" s="98"/>
    </row>
    <row r="46" spans="1:10" ht="15.75" customHeight="1">
      <c r="A46" s="13"/>
      <c r="B46" s="16" t="s">
        <v>4</v>
      </c>
      <c r="C46" s="55" t="s">
        <v>5</v>
      </c>
      <c r="D46" s="99" t="s">
        <v>6</v>
      </c>
      <c r="E46" s="100" t="s">
        <v>7</v>
      </c>
      <c r="F46" s="100" t="s">
        <v>8</v>
      </c>
      <c r="G46" s="101" t="s">
        <v>9</v>
      </c>
      <c r="H46" s="58" t="s">
        <v>11</v>
      </c>
      <c r="I46" s="59" t="s">
        <v>12</v>
      </c>
      <c r="J46" s="143"/>
    </row>
    <row r="47" spans="1:10" ht="15.75" customHeight="1">
      <c r="A47" s="43"/>
      <c r="B47" s="125" t="s">
        <v>13</v>
      </c>
      <c r="C47" s="61">
        <v>4823114029288</v>
      </c>
      <c r="D47" s="61" t="s">
        <v>784</v>
      </c>
      <c r="E47" s="61">
        <f ca="1">IFERROR(__xludf.DUMMYFUNCTION("VLOOKUP(SPLIT(D47,"".""),SPLIT(D47,"".""),1)"),52136)</f>
        <v>52136</v>
      </c>
      <c r="F47" s="61" t="s">
        <v>785</v>
      </c>
      <c r="G47" s="63" t="s">
        <v>25</v>
      </c>
      <c r="H47" s="71">
        <v>46.72</v>
      </c>
      <c r="I47" s="72">
        <v>93.44</v>
      </c>
      <c r="J47" s="79"/>
    </row>
    <row r="48" spans="1:10" ht="15.75" customHeight="1">
      <c r="A48" s="43"/>
      <c r="B48" s="126" t="s">
        <v>13</v>
      </c>
      <c r="C48" s="61">
        <v>4823114029295</v>
      </c>
      <c r="D48" s="61" t="s">
        <v>786</v>
      </c>
      <c r="E48" s="61">
        <f ca="1">IFERROR(__xludf.DUMMYFUNCTION("VLOOKUP(SPLIT(D48,"".""),SPLIT(D48,"".""),1)"),52137)</f>
        <v>52137</v>
      </c>
      <c r="F48" s="61" t="s">
        <v>787</v>
      </c>
      <c r="G48" s="63" t="s">
        <v>25</v>
      </c>
      <c r="H48" s="71">
        <v>53.76</v>
      </c>
      <c r="I48" s="72">
        <v>107.53</v>
      </c>
      <c r="J48" s="79"/>
    </row>
    <row r="49" spans="1:10" ht="15.75" customHeight="1">
      <c r="A49" s="43"/>
      <c r="B49" s="126" t="s">
        <v>13</v>
      </c>
      <c r="C49" s="69">
        <v>4823114029301</v>
      </c>
      <c r="D49" s="69" t="s">
        <v>788</v>
      </c>
      <c r="E49" s="69">
        <f ca="1">IFERROR(__xludf.DUMMYFUNCTION("VLOOKUP(SPLIT(D49,"".""),SPLIT(D49,"".""),1)"),52138)</f>
        <v>52138</v>
      </c>
      <c r="F49" s="69" t="s">
        <v>789</v>
      </c>
      <c r="G49" s="63" t="s">
        <v>25</v>
      </c>
      <c r="H49" s="71">
        <v>49.96</v>
      </c>
      <c r="I49" s="72">
        <v>99.91</v>
      </c>
      <c r="J49" s="79"/>
    </row>
    <row r="50" spans="1:10" ht="15.75" customHeight="1">
      <c r="A50" s="43"/>
      <c r="B50" s="247" t="s">
        <v>13</v>
      </c>
      <c r="C50" s="69">
        <v>4823114053658</v>
      </c>
      <c r="D50" s="189" t="s">
        <v>790</v>
      </c>
      <c r="E50" s="69">
        <v>87944</v>
      </c>
      <c r="F50" s="69" t="s">
        <v>791</v>
      </c>
      <c r="G50" s="70" t="s">
        <v>25</v>
      </c>
      <c r="H50" s="71">
        <v>54.32</v>
      </c>
      <c r="I50" s="72">
        <v>108.63</v>
      </c>
      <c r="J50" s="79"/>
    </row>
    <row r="51" spans="1:10" ht="15.75" customHeight="1">
      <c r="A51" s="43"/>
      <c r="B51" s="137" t="s">
        <v>13</v>
      </c>
      <c r="C51" s="87">
        <v>4823114053634</v>
      </c>
      <c r="D51" s="248" t="s">
        <v>792</v>
      </c>
      <c r="E51" s="87">
        <v>87795</v>
      </c>
      <c r="F51" s="87" t="s">
        <v>793</v>
      </c>
      <c r="G51" s="88" t="s">
        <v>25</v>
      </c>
      <c r="H51" s="66">
        <v>55.13</v>
      </c>
      <c r="I51" s="67">
        <v>110.26</v>
      </c>
      <c r="J51" s="79"/>
    </row>
    <row r="52" spans="1:10" ht="15.75" customHeight="1">
      <c r="A52" s="43"/>
      <c r="B52" s="137" t="s">
        <v>13</v>
      </c>
      <c r="C52" s="87">
        <v>4823114060953</v>
      </c>
      <c r="D52" s="87" t="s">
        <v>794</v>
      </c>
      <c r="E52" s="87">
        <v>91248</v>
      </c>
      <c r="F52" s="87" t="s">
        <v>795</v>
      </c>
      <c r="G52" s="88" t="s">
        <v>25</v>
      </c>
      <c r="H52" s="249">
        <v>41.01</v>
      </c>
      <c r="I52" s="250">
        <v>82.02</v>
      </c>
      <c r="J52" s="79"/>
    </row>
    <row r="53" spans="1:10" ht="15.75" customHeight="1">
      <c r="A53" s="43"/>
      <c r="B53" s="74"/>
      <c r="C53" s="131"/>
      <c r="D53" s="131"/>
      <c r="E53" s="75"/>
      <c r="F53" s="75"/>
      <c r="G53" s="76"/>
      <c r="H53" s="76"/>
      <c r="I53" s="127"/>
      <c r="J53" s="98"/>
    </row>
    <row r="54" spans="1:10" ht="15">
      <c r="A54" s="43"/>
      <c r="B54" s="51" t="s">
        <v>796</v>
      </c>
      <c r="C54" s="131"/>
      <c r="D54" s="131"/>
      <c r="E54" s="75"/>
      <c r="F54" s="75"/>
      <c r="G54" s="76"/>
      <c r="H54" s="76"/>
      <c r="I54" s="127"/>
      <c r="J54" s="98"/>
    </row>
    <row r="55" spans="1:10" ht="15">
      <c r="A55" s="43"/>
      <c r="B55" s="2"/>
      <c r="C55" s="131"/>
      <c r="D55" s="131"/>
      <c r="E55" s="75"/>
      <c r="F55" s="75"/>
      <c r="G55" s="76"/>
      <c r="H55" s="76"/>
      <c r="I55" s="127"/>
      <c r="J55" s="98"/>
    </row>
    <row r="56" spans="1:10" ht="15">
      <c r="A56" s="43"/>
      <c r="B56" s="251" t="s">
        <v>797</v>
      </c>
      <c r="C56" s="131"/>
      <c r="D56" s="131"/>
      <c r="E56" s="75"/>
      <c r="F56" s="75"/>
      <c r="G56" s="76"/>
      <c r="H56" s="76"/>
      <c r="I56" s="127"/>
      <c r="J56" s="98"/>
    </row>
    <row r="57" spans="1:10" ht="15">
      <c r="A57" s="2"/>
      <c r="C57" s="9"/>
      <c r="D57" s="9"/>
      <c r="E57" s="9"/>
      <c r="F57" s="9"/>
      <c r="G57" s="10"/>
      <c r="H57" s="10"/>
      <c r="I57" s="10"/>
      <c r="J57" s="2"/>
    </row>
    <row r="58" spans="1:10" ht="15">
      <c r="A58" s="2"/>
      <c r="C58" s="9"/>
      <c r="D58" s="9"/>
      <c r="E58" s="9"/>
      <c r="F58" s="9"/>
      <c r="G58" s="10"/>
      <c r="H58" s="10"/>
      <c r="I58" s="10"/>
      <c r="J58" s="2"/>
    </row>
    <row r="59" spans="1:10" ht="15">
      <c r="A59" s="43"/>
      <c r="C59" s="96"/>
      <c r="D59" s="96"/>
      <c r="E59" s="9"/>
      <c r="F59" s="9"/>
      <c r="G59" s="10"/>
      <c r="H59" s="10"/>
      <c r="I59" s="97"/>
      <c r="J59" s="98"/>
    </row>
    <row r="60" spans="1:10" ht="15">
      <c r="A60" s="2"/>
      <c r="B60" s="52"/>
      <c r="C60" s="53"/>
      <c r="D60" s="148"/>
      <c r="E60" s="148"/>
      <c r="F60" s="148"/>
      <c r="G60" s="252"/>
      <c r="H60" s="54"/>
      <c r="I60" s="54"/>
      <c r="J60" s="79"/>
    </row>
    <row r="61" spans="1:10" ht="30">
      <c r="A61" s="13"/>
      <c r="B61" s="16" t="s">
        <v>4</v>
      </c>
      <c r="C61" s="55" t="s">
        <v>5</v>
      </c>
      <c r="D61" s="99" t="s">
        <v>6</v>
      </c>
      <c r="E61" s="100" t="s">
        <v>7</v>
      </c>
      <c r="F61" s="100" t="s">
        <v>8</v>
      </c>
      <c r="G61" s="101" t="s">
        <v>9</v>
      </c>
      <c r="H61" s="58" t="s">
        <v>11</v>
      </c>
      <c r="I61" s="59" t="s">
        <v>12</v>
      </c>
      <c r="J61" s="143"/>
    </row>
    <row r="62" spans="1:10" ht="15">
      <c r="A62" s="43"/>
      <c r="B62" s="125" t="s">
        <v>13</v>
      </c>
      <c r="C62" s="61">
        <v>4823114029790</v>
      </c>
      <c r="D62" s="61" t="s">
        <v>798</v>
      </c>
      <c r="E62" s="61">
        <f ca="1">IFERROR(__xludf.DUMMYFUNCTION("VLOOKUP(SPLIT(D62,"".""),SPLIT(D62,"".""),1)"),52188)</f>
        <v>52188</v>
      </c>
      <c r="F62" s="61" t="s">
        <v>799</v>
      </c>
      <c r="G62" s="63" t="s">
        <v>25</v>
      </c>
      <c r="H62" s="201">
        <v>4.8099999999999996</v>
      </c>
      <c r="I62" s="202">
        <v>9.61</v>
      </c>
      <c r="J62" s="79"/>
    </row>
    <row r="63" spans="1:10" ht="15">
      <c r="A63" s="43"/>
      <c r="B63" s="125" t="s">
        <v>13</v>
      </c>
      <c r="C63" s="61">
        <v>4823114029806</v>
      </c>
      <c r="D63" s="61" t="s">
        <v>800</v>
      </c>
      <c r="E63" s="61">
        <f ca="1">IFERROR(__xludf.DUMMYFUNCTION("VLOOKUP(SPLIT(D63,"".""),SPLIT(D63,"".""),1)"),52189)</f>
        <v>52189</v>
      </c>
      <c r="F63" s="61" t="s">
        <v>801</v>
      </c>
      <c r="G63" s="63" t="s">
        <v>25</v>
      </c>
      <c r="H63" s="203">
        <v>5.66</v>
      </c>
      <c r="I63" s="204">
        <v>11.32</v>
      </c>
      <c r="J63" s="79"/>
    </row>
    <row r="64" spans="1:10" ht="15">
      <c r="A64" s="43"/>
      <c r="B64" s="125" t="s">
        <v>13</v>
      </c>
      <c r="C64" s="61">
        <v>4823114029813</v>
      </c>
      <c r="D64" s="61" t="s">
        <v>802</v>
      </c>
      <c r="E64" s="61">
        <f ca="1">IFERROR(__xludf.DUMMYFUNCTION("VLOOKUP(SPLIT(D64,"".""),SPLIT(D64,"".""),1)"),52190)</f>
        <v>52190</v>
      </c>
      <c r="F64" s="61" t="s">
        <v>803</v>
      </c>
      <c r="G64" s="63" t="s">
        <v>25</v>
      </c>
      <c r="H64" s="203">
        <v>6.95</v>
      </c>
      <c r="I64" s="204">
        <v>13.89</v>
      </c>
      <c r="J64" s="79"/>
    </row>
    <row r="65" spans="1:10" ht="15">
      <c r="A65" s="43"/>
      <c r="B65" s="125" t="s">
        <v>13</v>
      </c>
      <c r="C65" s="61">
        <v>4823114032349</v>
      </c>
      <c r="D65" s="61" t="s">
        <v>804</v>
      </c>
      <c r="E65" s="61">
        <f ca="1">IFERROR(__xludf.DUMMYFUNCTION("VLOOKUP(SPLIT(D65,"".""),SPLIT(D65,"".""),1)"),52348)</f>
        <v>52348</v>
      </c>
      <c r="F65" s="61" t="s">
        <v>805</v>
      </c>
      <c r="G65" s="63" t="s">
        <v>25</v>
      </c>
      <c r="H65" s="203">
        <v>7.52</v>
      </c>
      <c r="I65" s="204">
        <v>15.03</v>
      </c>
      <c r="J65" s="79"/>
    </row>
    <row r="66" spans="1:10" ht="15">
      <c r="A66" s="43"/>
      <c r="B66" s="74"/>
      <c r="C66" s="131"/>
      <c r="D66" s="131"/>
      <c r="E66" s="75"/>
      <c r="F66" s="75"/>
      <c r="G66" s="76"/>
      <c r="H66" s="76"/>
      <c r="I66" s="127"/>
      <c r="J66" s="98"/>
    </row>
    <row r="67" spans="1:10" ht="15">
      <c r="A67" s="43"/>
      <c r="B67" s="251" t="s">
        <v>806</v>
      </c>
      <c r="C67" s="96"/>
      <c r="D67" s="96"/>
      <c r="E67" s="9"/>
      <c r="F67" s="9"/>
      <c r="G67" s="10"/>
      <c r="H67" s="10"/>
      <c r="I67" s="97"/>
      <c r="J67" s="98"/>
    </row>
    <row r="68" spans="1:10" ht="15">
      <c r="A68" s="43"/>
      <c r="B68" s="2"/>
      <c r="C68" s="79"/>
      <c r="D68" s="79"/>
      <c r="E68" s="2"/>
      <c r="F68" s="2"/>
      <c r="G68" s="2"/>
      <c r="H68" s="2"/>
      <c r="I68" s="2"/>
      <c r="J68" s="98"/>
    </row>
    <row r="69" spans="1:10" ht="15">
      <c r="A69" s="43"/>
      <c r="B69" s="334"/>
      <c r="C69" s="297"/>
      <c r="D69" s="297"/>
      <c r="E69" s="297"/>
      <c r="F69" s="297"/>
      <c r="G69" s="297"/>
      <c r="H69" s="297"/>
      <c r="I69" s="298"/>
      <c r="J69" s="98"/>
    </row>
    <row r="70" spans="1:10" ht="15">
      <c r="A70" s="43"/>
      <c r="B70" s="333"/>
      <c r="C70" s="329"/>
      <c r="D70" s="329"/>
      <c r="E70" s="329"/>
      <c r="F70" s="329"/>
      <c r="G70" s="329"/>
      <c r="H70" s="329"/>
      <c r="I70" s="330"/>
      <c r="J70" s="98"/>
    </row>
    <row r="71" spans="1:10" ht="15">
      <c r="A71" s="2"/>
      <c r="B71" s="333"/>
      <c r="C71" s="329"/>
      <c r="D71" s="329"/>
      <c r="E71" s="329"/>
      <c r="F71" s="329"/>
      <c r="G71" s="329"/>
      <c r="H71" s="329"/>
      <c r="I71" s="330"/>
      <c r="J71" s="98"/>
    </row>
    <row r="72" spans="1:10" ht="15">
      <c r="A72" s="2"/>
      <c r="B72" s="299"/>
      <c r="C72" s="300"/>
      <c r="D72" s="300"/>
      <c r="E72" s="300"/>
      <c r="F72" s="300"/>
      <c r="G72" s="300"/>
      <c r="H72" s="300"/>
      <c r="I72" s="301"/>
      <c r="J72" s="98"/>
    </row>
    <row r="73" spans="1:10" ht="15">
      <c r="A73" s="2"/>
      <c r="B73" s="2"/>
      <c r="C73" s="9"/>
      <c r="D73" s="9"/>
      <c r="E73" s="9"/>
      <c r="F73" s="9"/>
      <c r="G73" s="10"/>
      <c r="H73" s="10"/>
      <c r="I73" s="10"/>
      <c r="J73" s="2"/>
    </row>
    <row r="74" spans="1:10" ht="30">
      <c r="A74" s="13"/>
      <c r="B74" s="16" t="s">
        <v>4</v>
      </c>
      <c r="C74" s="55" t="s">
        <v>5</v>
      </c>
      <c r="D74" s="99" t="s">
        <v>6</v>
      </c>
      <c r="E74" s="100" t="s">
        <v>7</v>
      </c>
      <c r="F74" s="100" t="s">
        <v>8</v>
      </c>
      <c r="G74" s="101" t="s">
        <v>9</v>
      </c>
      <c r="H74" s="58" t="s">
        <v>11</v>
      </c>
      <c r="I74" s="59" t="s">
        <v>12</v>
      </c>
      <c r="J74" s="143"/>
    </row>
    <row r="75" spans="1:10" ht="15">
      <c r="A75" s="43"/>
      <c r="B75" s="125" t="s">
        <v>13</v>
      </c>
      <c r="C75" s="61">
        <v>4823114029318</v>
      </c>
      <c r="D75" s="61" t="s">
        <v>807</v>
      </c>
      <c r="E75" s="61">
        <f ca="1">IFERROR(__xludf.DUMMYFUNCTION("VLOOKUP(SPLIT(D75,"".""),SPLIT(D75,"".""),1)"),52171)</f>
        <v>52171</v>
      </c>
      <c r="F75" s="61" t="s">
        <v>808</v>
      </c>
      <c r="G75" s="63" t="s">
        <v>16</v>
      </c>
      <c r="H75" s="201">
        <v>8.61</v>
      </c>
      <c r="I75" s="202">
        <v>17.22</v>
      </c>
      <c r="J75" s="79"/>
    </row>
    <row r="76" spans="1:10" ht="15">
      <c r="A76" s="43"/>
      <c r="B76" s="125" t="s">
        <v>13</v>
      </c>
      <c r="C76" s="61">
        <v>4823114029325</v>
      </c>
      <c r="D76" s="61" t="s">
        <v>809</v>
      </c>
      <c r="E76" s="61">
        <f ca="1">IFERROR(__xludf.DUMMYFUNCTION("VLOOKUP(SPLIT(D76,"".""),SPLIT(D76,"".""),1)"),52173)</f>
        <v>52173</v>
      </c>
      <c r="F76" s="61" t="s">
        <v>808</v>
      </c>
      <c r="G76" s="63" t="s">
        <v>810</v>
      </c>
      <c r="H76" s="203">
        <v>8.61</v>
      </c>
      <c r="I76" s="204">
        <v>17.22</v>
      </c>
      <c r="J76" s="79"/>
    </row>
    <row r="77" spans="1:10" ht="15">
      <c r="A77" s="43"/>
      <c r="B77" s="125" t="s">
        <v>13</v>
      </c>
      <c r="C77" s="61">
        <v>4823114029332</v>
      </c>
      <c r="D77" s="61" t="s">
        <v>811</v>
      </c>
      <c r="E77" s="61">
        <f ca="1">IFERROR(__xludf.DUMMYFUNCTION("VLOOKUP(SPLIT(D77,"".""),SPLIT(D77,"".""),1)"),52174)</f>
        <v>52174</v>
      </c>
      <c r="F77" s="61" t="s">
        <v>808</v>
      </c>
      <c r="G77" s="63" t="s">
        <v>148</v>
      </c>
      <c r="H77" s="203">
        <v>8.61</v>
      </c>
      <c r="I77" s="204">
        <v>17.22</v>
      </c>
      <c r="J77" s="79"/>
    </row>
    <row r="78" spans="1:10" ht="15">
      <c r="A78" s="43"/>
      <c r="B78" s="125" t="s">
        <v>13</v>
      </c>
      <c r="C78" s="61">
        <v>4823114029349</v>
      </c>
      <c r="D78" s="61" t="s">
        <v>812</v>
      </c>
      <c r="E78" s="61">
        <f ca="1">IFERROR(__xludf.DUMMYFUNCTION("VLOOKUP(SPLIT(D78,"".""),SPLIT(D78,"".""),1)"),52175)</f>
        <v>52175</v>
      </c>
      <c r="F78" s="61" t="s">
        <v>808</v>
      </c>
      <c r="G78" s="63" t="s">
        <v>468</v>
      </c>
      <c r="H78" s="203">
        <v>8.61</v>
      </c>
      <c r="I78" s="204">
        <v>17.22</v>
      </c>
      <c r="J78" s="79"/>
    </row>
    <row r="79" spans="1:10" ht="15">
      <c r="A79" s="43"/>
      <c r="B79" s="125" t="s">
        <v>13</v>
      </c>
      <c r="C79" s="61">
        <v>4823114029356</v>
      </c>
      <c r="D79" s="61" t="s">
        <v>813</v>
      </c>
      <c r="E79" s="61">
        <f ca="1">IFERROR(__xludf.DUMMYFUNCTION("VLOOKUP(SPLIT(D79,"".""),SPLIT(D79,"".""),1)"),52176)</f>
        <v>52176</v>
      </c>
      <c r="F79" s="61" t="s">
        <v>808</v>
      </c>
      <c r="G79" s="63" t="s">
        <v>814</v>
      </c>
      <c r="H79" s="203">
        <v>8.61</v>
      </c>
      <c r="I79" s="204">
        <v>17.22</v>
      </c>
      <c r="J79" s="79"/>
    </row>
    <row r="80" spans="1:10" ht="15">
      <c r="A80" s="43"/>
      <c r="B80" s="125" t="s">
        <v>13</v>
      </c>
      <c r="C80" s="61">
        <v>4823114029363</v>
      </c>
      <c r="D80" s="61" t="s">
        <v>815</v>
      </c>
      <c r="E80" s="61">
        <f ca="1">IFERROR(__xludf.DUMMYFUNCTION("VLOOKUP(SPLIT(D80,"".""),SPLIT(D80,"".""),1)"),52177)</f>
        <v>52177</v>
      </c>
      <c r="F80" s="61" t="s">
        <v>808</v>
      </c>
      <c r="G80" s="63" t="s">
        <v>816</v>
      </c>
      <c r="H80" s="203">
        <v>8.61</v>
      </c>
      <c r="I80" s="204">
        <v>17.22</v>
      </c>
      <c r="J80" s="79"/>
    </row>
    <row r="81" spans="1:10" ht="15">
      <c r="A81" s="43"/>
      <c r="B81" s="125" t="s">
        <v>13</v>
      </c>
      <c r="C81" s="61">
        <v>4823114029370</v>
      </c>
      <c r="D81" s="61" t="s">
        <v>817</v>
      </c>
      <c r="E81" s="61">
        <f ca="1">IFERROR(__xludf.DUMMYFUNCTION("VLOOKUP(SPLIT(D81,"".""),SPLIT(D81,"".""),1)"),52178)</f>
        <v>52178</v>
      </c>
      <c r="F81" s="61" t="s">
        <v>808</v>
      </c>
      <c r="G81" s="63" t="s">
        <v>818</v>
      </c>
      <c r="H81" s="203">
        <v>8.61</v>
      </c>
      <c r="I81" s="204">
        <v>17.22</v>
      </c>
      <c r="J81" s="79"/>
    </row>
    <row r="82" spans="1:10" ht="15">
      <c r="A82" s="43"/>
      <c r="B82" s="125" t="s">
        <v>13</v>
      </c>
      <c r="C82" s="61">
        <v>4823114029387</v>
      </c>
      <c r="D82" s="61" t="s">
        <v>819</v>
      </c>
      <c r="E82" s="61">
        <f ca="1">IFERROR(__xludf.DUMMYFUNCTION("VLOOKUP(SPLIT(D82,"".""),SPLIT(D82,"".""),1)"),52179)</f>
        <v>52179</v>
      </c>
      <c r="F82" s="61" t="s">
        <v>808</v>
      </c>
      <c r="G82" s="63" t="s">
        <v>19</v>
      </c>
      <c r="H82" s="203">
        <v>8.61</v>
      </c>
      <c r="I82" s="204">
        <v>17.22</v>
      </c>
      <c r="J82" s="79"/>
    </row>
    <row r="83" spans="1:10" ht="15">
      <c r="A83" s="43"/>
      <c r="B83" s="126" t="s">
        <v>13</v>
      </c>
      <c r="C83" s="61">
        <v>4823114029394</v>
      </c>
      <c r="D83" s="61" t="s">
        <v>820</v>
      </c>
      <c r="E83" s="61">
        <f ca="1">IFERROR(__xludf.DUMMYFUNCTION("VLOOKUP(SPLIT(D83,"".""),SPLIT(D83,"".""),1)"),52180)</f>
        <v>52180</v>
      </c>
      <c r="F83" s="61" t="s">
        <v>821</v>
      </c>
      <c r="G83" s="63" t="s">
        <v>16</v>
      </c>
      <c r="H83" s="203">
        <v>9.18</v>
      </c>
      <c r="I83" s="204">
        <v>18.37</v>
      </c>
      <c r="J83" s="79"/>
    </row>
    <row r="84" spans="1:10" ht="15">
      <c r="A84" s="43"/>
      <c r="B84" s="126" t="s">
        <v>13</v>
      </c>
      <c r="C84" s="61">
        <v>4823114029400</v>
      </c>
      <c r="D84" s="61" t="s">
        <v>822</v>
      </c>
      <c r="E84" s="61">
        <f ca="1">IFERROR(__xludf.DUMMYFUNCTION("VLOOKUP(SPLIT(D84,"".""),SPLIT(D84,"".""),1)"),52181)</f>
        <v>52181</v>
      </c>
      <c r="F84" s="61" t="s">
        <v>821</v>
      </c>
      <c r="G84" s="63" t="s">
        <v>810</v>
      </c>
      <c r="H84" s="203">
        <v>9.18</v>
      </c>
      <c r="I84" s="204">
        <v>18.37</v>
      </c>
      <c r="J84" s="79"/>
    </row>
    <row r="85" spans="1:10" ht="15">
      <c r="A85" s="43"/>
      <c r="B85" s="126" t="s">
        <v>13</v>
      </c>
      <c r="C85" s="61">
        <v>4823114029417</v>
      </c>
      <c r="D85" s="61" t="s">
        <v>823</v>
      </c>
      <c r="E85" s="61">
        <f ca="1">IFERROR(__xludf.DUMMYFUNCTION("VLOOKUP(SPLIT(D85,"".""),SPLIT(D85,"".""),1)"),52182)</f>
        <v>52182</v>
      </c>
      <c r="F85" s="61" t="s">
        <v>821</v>
      </c>
      <c r="G85" s="63" t="s">
        <v>148</v>
      </c>
      <c r="H85" s="203">
        <v>9.18</v>
      </c>
      <c r="I85" s="204">
        <v>18.37</v>
      </c>
      <c r="J85" s="79"/>
    </row>
    <row r="86" spans="1:10" ht="15">
      <c r="A86" s="43"/>
      <c r="B86" s="126" t="s">
        <v>13</v>
      </c>
      <c r="C86" s="61">
        <v>4823114029424</v>
      </c>
      <c r="D86" s="61" t="s">
        <v>824</v>
      </c>
      <c r="E86" s="61">
        <f ca="1">IFERROR(__xludf.DUMMYFUNCTION("VLOOKUP(SPLIT(D86,"".""),SPLIT(D86,"".""),1)"),52183)</f>
        <v>52183</v>
      </c>
      <c r="F86" s="61" t="s">
        <v>821</v>
      </c>
      <c r="G86" s="63" t="s">
        <v>468</v>
      </c>
      <c r="H86" s="203">
        <v>9.18</v>
      </c>
      <c r="I86" s="204">
        <v>18.37</v>
      </c>
      <c r="J86" s="79"/>
    </row>
    <row r="87" spans="1:10" ht="15">
      <c r="A87" s="43"/>
      <c r="B87" s="126" t="s">
        <v>13</v>
      </c>
      <c r="C87" s="61">
        <v>4823114029431</v>
      </c>
      <c r="D87" s="61" t="s">
        <v>825</v>
      </c>
      <c r="E87" s="61">
        <f ca="1">IFERROR(__xludf.DUMMYFUNCTION("VLOOKUP(SPLIT(D87,"".""),SPLIT(D87,"".""),1)"),52184)</f>
        <v>52184</v>
      </c>
      <c r="F87" s="61" t="s">
        <v>821</v>
      </c>
      <c r="G87" s="63" t="s">
        <v>814</v>
      </c>
      <c r="H87" s="203">
        <v>9.18</v>
      </c>
      <c r="I87" s="204">
        <v>18.37</v>
      </c>
      <c r="J87" s="79"/>
    </row>
    <row r="88" spans="1:10" ht="15">
      <c r="A88" s="43"/>
      <c r="B88" s="126" t="s">
        <v>13</v>
      </c>
      <c r="C88" s="61">
        <v>4823114029448</v>
      </c>
      <c r="D88" s="61" t="s">
        <v>826</v>
      </c>
      <c r="E88" s="61">
        <f ca="1">IFERROR(__xludf.DUMMYFUNCTION("VLOOKUP(SPLIT(D88,"".""),SPLIT(D88,"".""),1)"),52185)</f>
        <v>52185</v>
      </c>
      <c r="F88" s="61" t="s">
        <v>821</v>
      </c>
      <c r="G88" s="63" t="s">
        <v>816</v>
      </c>
      <c r="H88" s="203">
        <v>9.18</v>
      </c>
      <c r="I88" s="204">
        <v>18.37</v>
      </c>
      <c r="J88" s="79"/>
    </row>
    <row r="89" spans="1:10" ht="15">
      <c r="A89" s="43"/>
      <c r="B89" s="126" t="s">
        <v>13</v>
      </c>
      <c r="C89" s="61">
        <v>4823114029455</v>
      </c>
      <c r="D89" s="61" t="s">
        <v>827</v>
      </c>
      <c r="E89" s="61">
        <f ca="1">IFERROR(__xludf.DUMMYFUNCTION("VLOOKUP(SPLIT(D89,"".""),SPLIT(D89,"".""),1)"),52186)</f>
        <v>52186</v>
      </c>
      <c r="F89" s="61" t="s">
        <v>821</v>
      </c>
      <c r="G89" s="63" t="s">
        <v>818</v>
      </c>
      <c r="H89" s="203">
        <v>9.18</v>
      </c>
      <c r="I89" s="204">
        <v>18.37</v>
      </c>
      <c r="J89" s="79"/>
    </row>
    <row r="90" spans="1:10" ht="15">
      <c r="A90" s="43"/>
      <c r="B90" s="126" t="s">
        <v>13</v>
      </c>
      <c r="C90" s="61">
        <v>4823114029462</v>
      </c>
      <c r="D90" s="61" t="s">
        <v>828</v>
      </c>
      <c r="E90" s="61">
        <f ca="1">IFERROR(__xludf.DUMMYFUNCTION("VLOOKUP(SPLIT(D90,"".""),SPLIT(D90,"".""),1)"),52187)</f>
        <v>52187</v>
      </c>
      <c r="F90" s="61" t="s">
        <v>821</v>
      </c>
      <c r="G90" s="63" t="s">
        <v>19</v>
      </c>
      <c r="H90" s="203">
        <v>9.18</v>
      </c>
      <c r="I90" s="204">
        <v>18.37</v>
      </c>
      <c r="J90" s="79"/>
    </row>
    <row r="91" spans="1:10" ht="15">
      <c r="A91" s="43"/>
      <c r="B91" s="125" t="s">
        <v>13</v>
      </c>
      <c r="C91" s="61">
        <v>4823114029479</v>
      </c>
      <c r="D91" s="61" t="s">
        <v>829</v>
      </c>
      <c r="E91" s="61">
        <f ca="1">IFERROR(__xludf.DUMMYFUNCTION("VLOOKUP(SPLIT(D91,"".""),SPLIT(D91,"".""),1)"),52155)</f>
        <v>52155</v>
      </c>
      <c r="F91" s="61" t="s">
        <v>830</v>
      </c>
      <c r="G91" s="63" t="s">
        <v>16</v>
      </c>
      <c r="H91" s="203">
        <v>7.42</v>
      </c>
      <c r="I91" s="204">
        <v>14.84</v>
      </c>
      <c r="J91" s="79"/>
    </row>
    <row r="92" spans="1:10" ht="15">
      <c r="A92" s="43"/>
      <c r="B92" s="125" t="s">
        <v>13</v>
      </c>
      <c r="C92" s="61">
        <v>4823114029486</v>
      </c>
      <c r="D92" s="61" t="s">
        <v>831</v>
      </c>
      <c r="E92" s="61">
        <f ca="1">IFERROR(__xludf.DUMMYFUNCTION("VLOOKUP(SPLIT(D92,"".""),SPLIT(D92,"".""),1)"),52156)</f>
        <v>52156</v>
      </c>
      <c r="F92" s="61" t="s">
        <v>830</v>
      </c>
      <c r="G92" s="63" t="s">
        <v>810</v>
      </c>
      <c r="H92" s="203">
        <v>7.42</v>
      </c>
      <c r="I92" s="204">
        <v>14.84</v>
      </c>
      <c r="J92" s="79"/>
    </row>
    <row r="93" spans="1:10" ht="15">
      <c r="A93" s="43"/>
      <c r="B93" s="125" t="s">
        <v>13</v>
      </c>
      <c r="C93" s="61">
        <v>4823114029493</v>
      </c>
      <c r="D93" s="61" t="s">
        <v>832</v>
      </c>
      <c r="E93" s="61">
        <f ca="1">IFERROR(__xludf.DUMMYFUNCTION("VLOOKUP(SPLIT(D93,"".""),SPLIT(D93,"".""),1)"),52157)</f>
        <v>52157</v>
      </c>
      <c r="F93" s="61" t="s">
        <v>830</v>
      </c>
      <c r="G93" s="63" t="s">
        <v>148</v>
      </c>
      <c r="H93" s="203">
        <v>7.42</v>
      </c>
      <c r="I93" s="204">
        <v>14.84</v>
      </c>
      <c r="J93" s="79"/>
    </row>
    <row r="94" spans="1:10" ht="15">
      <c r="A94" s="43"/>
      <c r="B94" s="125" t="s">
        <v>13</v>
      </c>
      <c r="C94" s="61">
        <v>4823114029509</v>
      </c>
      <c r="D94" s="61" t="s">
        <v>833</v>
      </c>
      <c r="E94" s="61">
        <f ca="1">IFERROR(__xludf.DUMMYFUNCTION("VLOOKUP(SPLIT(D94,"".""),SPLIT(D94,"".""),1)"),52158)</f>
        <v>52158</v>
      </c>
      <c r="F94" s="61" t="s">
        <v>830</v>
      </c>
      <c r="G94" s="63" t="s">
        <v>468</v>
      </c>
      <c r="H94" s="203">
        <v>7.42</v>
      </c>
      <c r="I94" s="204">
        <v>14.84</v>
      </c>
      <c r="J94" s="79"/>
    </row>
    <row r="95" spans="1:10" ht="15">
      <c r="A95" s="43"/>
      <c r="B95" s="125" t="s">
        <v>13</v>
      </c>
      <c r="C95" s="61">
        <v>4823114029516</v>
      </c>
      <c r="D95" s="61" t="s">
        <v>834</v>
      </c>
      <c r="E95" s="61">
        <f ca="1">IFERROR(__xludf.DUMMYFUNCTION("VLOOKUP(SPLIT(D95,"".""),SPLIT(D95,"".""),1)"),52159)</f>
        <v>52159</v>
      </c>
      <c r="F95" s="61" t="s">
        <v>830</v>
      </c>
      <c r="G95" s="63" t="s">
        <v>814</v>
      </c>
      <c r="H95" s="203">
        <v>7.42</v>
      </c>
      <c r="I95" s="204">
        <v>14.84</v>
      </c>
      <c r="J95" s="79"/>
    </row>
    <row r="96" spans="1:10" ht="15">
      <c r="A96" s="43"/>
      <c r="B96" s="125" t="s">
        <v>13</v>
      </c>
      <c r="C96" s="61">
        <v>4823114029523</v>
      </c>
      <c r="D96" s="61" t="s">
        <v>835</v>
      </c>
      <c r="E96" s="61">
        <f ca="1">IFERROR(__xludf.DUMMYFUNCTION("VLOOKUP(SPLIT(D96,"".""),SPLIT(D96,"".""),1)"),52160)</f>
        <v>52160</v>
      </c>
      <c r="F96" s="61" t="s">
        <v>830</v>
      </c>
      <c r="G96" s="63" t="s">
        <v>816</v>
      </c>
      <c r="H96" s="203">
        <v>7.42</v>
      </c>
      <c r="I96" s="204">
        <v>14.84</v>
      </c>
      <c r="J96" s="79"/>
    </row>
    <row r="97" spans="1:10" ht="15">
      <c r="A97" s="43"/>
      <c r="B97" s="125" t="s">
        <v>13</v>
      </c>
      <c r="C97" s="61">
        <v>4823114029530</v>
      </c>
      <c r="D97" s="61" t="s">
        <v>836</v>
      </c>
      <c r="E97" s="61">
        <f ca="1">IFERROR(__xludf.DUMMYFUNCTION("VLOOKUP(SPLIT(D97,"".""),SPLIT(D97,"".""),1)"),52161)</f>
        <v>52161</v>
      </c>
      <c r="F97" s="61" t="s">
        <v>830</v>
      </c>
      <c r="G97" s="63" t="s">
        <v>818</v>
      </c>
      <c r="H97" s="203">
        <v>7.42</v>
      </c>
      <c r="I97" s="204">
        <v>14.84</v>
      </c>
      <c r="J97" s="79"/>
    </row>
    <row r="98" spans="1:10" ht="15">
      <c r="A98" s="43"/>
      <c r="B98" s="125" t="s">
        <v>13</v>
      </c>
      <c r="C98" s="61">
        <v>4823114029547</v>
      </c>
      <c r="D98" s="61" t="s">
        <v>837</v>
      </c>
      <c r="E98" s="61">
        <f ca="1">IFERROR(__xludf.DUMMYFUNCTION("VLOOKUP(SPLIT(D98,"".""),SPLIT(D98,"".""),1)"),52162)</f>
        <v>52162</v>
      </c>
      <c r="F98" s="61" t="s">
        <v>830</v>
      </c>
      <c r="G98" s="63" t="s">
        <v>19</v>
      </c>
      <c r="H98" s="203">
        <v>7.42</v>
      </c>
      <c r="I98" s="204">
        <v>14.84</v>
      </c>
      <c r="J98" s="79"/>
    </row>
    <row r="99" spans="1:10" ht="15">
      <c r="A99" s="43"/>
      <c r="B99" s="126" t="s">
        <v>13</v>
      </c>
      <c r="C99" s="61">
        <v>4823114029554</v>
      </c>
      <c r="D99" s="61" t="s">
        <v>838</v>
      </c>
      <c r="E99" s="61">
        <f ca="1">IFERROR(__xludf.DUMMYFUNCTION("VLOOKUP(SPLIT(D99,"".""),SPLIT(D99,"".""),1)"),52163)</f>
        <v>52163</v>
      </c>
      <c r="F99" s="61" t="s">
        <v>839</v>
      </c>
      <c r="G99" s="63" t="s">
        <v>16</v>
      </c>
      <c r="H99" s="203">
        <v>7.99</v>
      </c>
      <c r="I99" s="204">
        <v>15.99</v>
      </c>
      <c r="J99" s="79"/>
    </row>
    <row r="100" spans="1:10" ht="15">
      <c r="A100" s="43"/>
      <c r="B100" s="126" t="s">
        <v>13</v>
      </c>
      <c r="C100" s="61">
        <v>4823114029561</v>
      </c>
      <c r="D100" s="61" t="s">
        <v>840</v>
      </c>
      <c r="E100" s="61">
        <f ca="1">IFERROR(__xludf.DUMMYFUNCTION("VLOOKUP(SPLIT(D100,"".""),SPLIT(D100,"".""),1)"),52164)</f>
        <v>52164</v>
      </c>
      <c r="F100" s="61" t="s">
        <v>839</v>
      </c>
      <c r="G100" s="63" t="s">
        <v>810</v>
      </c>
      <c r="H100" s="203">
        <v>7.99</v>
      </c>
      <c r="I100" s="204">
        <v>15.99</v>
      </c>
      <c r="J100" s="79"/>
    </row>
    <row r="101" spans="1:10" ht="15">
      <c r="A101" s="43"/>
      <c r="B101" s="126" t="s">
        <v>13</v>
      </c>
      <c r="C101" s="61">
        <v>4823114029578</v>
      </c>
      <c r="D101" s="61" t="s">
        <v>841</v>
      </c>
      <c r="E101" s="61">
        <f ca="1">IFERROR(__xludf.DUMMYFUNCTION("VLOOKUP(SPLIT(D101,"".""),SPLIT(D101,"".""),1)"),52165)</f>
        <v>52165</v>
      </c>
      <c r="F101" s="61" t="s">
        <v>839</v>
      </c>
      <c r="G101" s="63" t="s">
        <v>148</v>
      </c>
      <c r="H101" s="203">
        <v>7.99</v>
      </c>
      <c r="I101" s="204">
        <v>15.99</v>
      </c>
      <c r="J101" s="79"/>
    </row>
    <row r="102" spans="1:10" ht="15">
      <c r="A102" s="43"/>
      <c r="B102" s="126" t="s">
        <v>13</v>
      </c>
      <c r="C102" s="61">
        <v>4823114029585</v>
      </c>
      <c r="D102" s="61" t="s">
        <v>842</v>
      </c>
      <c r="E102" s="61">
        <f ca="1">IFERROR(__xludf.DUMMYFUNCTION("VLOOKUP(SPLIT(D102,"".""),SPLIT(D102,"".""),1)"),52166)</f>
        <v>52166</v>
      </c>
      <c r="F102" s="61" t="s">
        <v>839</v>
      </c>
      <c r="G102" s="63" t="s">
        <v>468</v>
      </c>
      <c r="H102" s="203">
        <v>7.99</v>
      </c>
      <c r="I102" s="204">
        <v>15.99</v>
      </c>
      <c r="J102" s="79"/>
    </row>
    <row r="103" spans="1:10" ht="15">
      <c r="A103" s="43"/>
      <c r="B103" s="126" t="s">
        <v>13</v>
      </c>
      <c r="C103" s="61">
        <v>4823114029592</v>
      </c>
      <c r="D103" s="61" t="s">
        <v>843</v>
      </c>
      <c r="E103" s="61">
        <f ca="1">IFERROR(__xludf.DUMMYFUNCTION("VLOOKUP(SPLIT(D103,"".""),SPLIT(D103,"".""),1)"),52167)</f>
        <v>52167</v>
      </c>
      <c r="F103" s="61" t="s">
        <v>839</v>
      </c>
      <c r="G103" s="63" t="s">
        <v>814</v>
      </c>
      <c r="H103" s="203">
        <v>7.99</v>
      </c>
      <c r="I103" s="204">
        <v>15.99</v>
      </c>
      <c r="J103" s="79"/>
    </row>
    <row r="104" spans="1:10" ht="15">
      <c r="A104" s="43"/>
      <c r="B104" s="126" t="s">
        <v>13</v>
      </c>
      <c r="C104" s="61">
        <v>4823114029608</v>
      </c>
      <c r="D104" s="61" t="s">
        <v>844</v>
      </c>
      <c r="E104" s="61">
        <f ca="1">IFERROR(__xludf.DUMMYFUNCTION("VLOOKUP(SPLIT(D104,"".""),SPLIT(D104,"".""),1)"),52168)</f>
        <v>52168</v>
      </c>
      <c r="F104" s="61" t="s">
        <v>839</v>
      </c>
      <c r="G104" s="63" t="s">
        <v>816</v>
      </c>
      <c r="H104" s="203">
        <v>7.99</v>
      </c>
      <c r="I104" s="204">
        <v>15.99</v>
      </c>
      <c r="J104" s="79"/>
    </row>
    <row r="105" spans="1:10" ht="15">
      <c r="A105" s="43"/>
      <c r="B105" s="126" t="s">
        <v>13</v>
      </c>
      <c r="C105" s="61">
        <v>4823114029615</v>
      </c>
      <c r="D105" s="61" t="s">
        <v>845</v>
      </c>
      <c r="E105" s="61">
        <f ca="1">IFERROR(__xludf.DUMMYFUNCTION("VLOOKUP(SPLIT(D105,"".""),SPLIT(D105,"".""),1)"),52169)</f>
        <v>52169</v>
      </c>
      <c r="F105" s="61" t="s">
        <v>839</v>
      </c>
      <c r="G105" s="63" t="s">
        <v>818</v>
      </c>
      <c r="H105" s="203">
        <v>7.99</v>
      </c>
      <c r="I105" s="204">
        <v>15.99</v>
      </c>
      <c r="J105" s="79"/>
    </row>
    <row r="106" spans="1:10" ht="15">
      <c r="A106" s="43"/>
      <c r="B106" s="126" t="s">
        <v>13</v>
      </c>
      <c r="C106" s="61">
        <v>4823114029622</v>
      </c>
      <c r="D106" s="61" t="s">
        <v>846</v>
      </c>
      <c r="E106" s="61">
        <f ca="1">IFERROR(__xludf.DUMMYFUNCTION("VLOOKUP(SPLIT(D106,"".""),SPLIT(D106,"".""),1)"),52170)</f>
        <v>52170</v>
      </c>
      <c r="F106" s="61" t="s">
        <v>839</v>
      </c>
      <c r="G106" s="63" t="s">
        <v>19</v>
      </c>
      <c r="H106" s="203">
        <v>7.99</v>
      </c>
      <c r="I106" s="204">
        <v>15.99</v>
      </c>
      <c r="J106" s="79"/>
    </row>
    <row r="107" spans="1:10" ht="15">
      <c r="A107" s="43"/>
      <c r="B107" s="125" t="s">
        <v>13</v>
      </c>
      <c r="C107" s="61">
        <v>4823114029639</v>
      </c>
      <c r="D107" s="61" t="s">
        <v>847</v>
      </c>
      <c r="E107" s="61">
        <f ca="1">IFERROR(__xludf.DUMMYFUNCTION("VLOOKUP(SPLIT(D107,"".""),SPLIT(D107,"".""),1)"),52139)</f>
        <v>52139</v>
      </c>
      <c r="F107" s="61" t="s">
        <v>848</v>
      </c>
      <c r="G107" s="63" t="s">
        <v>16</v>
      </c>
      <c r="H107" s="203">
        <v>7.8</v>
      </c>
      <c r="I107" s="204">
        <v>15.61</v>
      </c>
      <c r="J107" s="79"/>
    </row>
    <row r="108" spans="1:10" ht="15">
      <c r="A108" s="43"/>
      <c r="B108" s="125" t="s">
        <v>13</v>
      </c>
      <c r="C108" s="61">
        <v>4823114029646</v>
      </c>
      <c r="D108" s="61" t="s">
        <v>849</v>
      </c>
      <c r="E108" s="61">
        <f ca="1">IFERROR(__xludf.DUMMYFUNCTION("VLOOKUP(SPLIT(D108,"".""),SPLIT(D108,"".""),1)"),52140)</f>
        <v>52140</v>
      </c>
      <c r="F108" s="61" t="s">
        <v>848</v>
      </c>
      <c r="G108" s="63" t="s">
        <v>810</v>
      </c>
      <c r="H108" s="203">
        <v>7.8</v>
      </c>
      <c r="I108" s="204">
        <v>15.61</v>
      </c>
      <c r="J108" s="79"/>
    </row>
    <row r="109" spans="1:10" ht="15">
      <c r="A109" s="43"/>
      <c r="B109" s="125" t="s">
        <v>13</v>
      </c>
      <c r="C109" s="61">
        <v>4823114029653</v>
      </c>
      <c r="D109" s="61" t="s">
        <v>850</v>
      </c>
      <c r="E109" s="61">
        <f ca="1">IFERROR(__xludf.DUMMYFUNCTION("VLOOKUP(SPLIT(D109,"".""),SPLIT(D109,"".""),1)"),52141)</f>
        <v>52141</v>
      </c>
      <c r="F109" s="61" t="s">
        <v>848</v>
      </c>
      <c r="G109" s="63" t="s">
        <v>148</v>
      </c>
      <c r="H109" s="203">
        <v>7.8</v>
      </c>
      <c r="I109" s="204">
        <v>15.61</v>
      </c>
      <c r="J109" s="79"/>
    </row>
    <row r="110" spans="1:10" ht="15">
      <c r="A110" s="43"/>
      <c r="B110" s="125" t="s">
        <v>13</v>
      </c>
      <c r="C110" s="61">
        <v>4823114029660</v>
      </c>
      <c r="D110" s="61" t="s">
        <v>851</v>
      </c>
      <c r="E110" s="61">
        <f ca="1">IFERROR(__xludf.DUMMYFUNCTION("VLOOKUP(SPLIT(D110,"".""),SPLIT(D110,"".""),1)"),52142)</f>
        <v>52142</v>
      </c>
      <c r="F110" s="61" t="s">
        <v>848</v>
      </c>
      <c r="G110" s="63" t="s">
        <v>468</v>
      </c>
      <c r="H110" s="203">
        <v>7.8</v>
      </c>
      <c r="I110" s="204">
        <v>15.61</v>
      </c>
      <c r="J110" s="79"/>
    </row>
    <row r="111" spans="1:10" ht="15">
      <c r="A111" s="43"/>
      <c r="B111" s="125" t="s">
        <v>13</v>
      </c>
      <c r="C111" s="61">
        <v>4823114029677</v>
      </c>
      <c r="D111" s="61" t="s">
        <v>852</v>
      </c>
      <c r="E111" s="61">
        <f ca="1">IFERROR(__xludf.DUMMYFUNCTION("VLOOKUP(SPLIT(D111,"".""),SPLIT(D111,"".""),1)"),52143)</f>
        <v>52143</v>
      </c>
      <c r="F111" s="61" t="s">
        <v>848</v>
      </c>
      <c r="G111" s="63" t="s">
        <v>814</v>
      </c>
      <c r="H111" s="203">
        <v>7.8</v>
      </c>
      <c r="I111" s="204">
        <v>15.61</v>
      </c>
      <c r="J111" s="79"/>
    </row>
    <row r="112" spans="1:10" ht="15">
      <c r="A112" s="43"/>
      <c r="B112" s="125" t="s">
        <v>13</v>
      </c>
      <c r="C112" s="61">
        <v>4823114029684</v>
      </c>
      <c r="D112" s="61" t="s">
        <v>853</v>
      </c>
      <c r="E112" s="61">
        <f ca="1">IFERROR(__xludf.DUMMYFUNCTION("VLOOKUP(SPLIT(D112,"".""),SPLIT(D112,"".""),1)"),52144)</f>
        <v>52144</v>
      </c>
      <c r="F112" s="61" t="s">
        <v>848</v>
      </c>
      <c r="G112" s="63" t="s">
        <v>816</v>
      </c>
      <c r="H112" s="203">
        <v>7.8</v>
      </c>
      <c r="I112" s="204">
        <v>15.61</v>
      </c>
      <c r="J112" s="79"/>
    </row>
    <row r="113" spans="1:10" ht="15">
      <c r="A113" s="43"/>
      <c r="B113" s="125" t="s">
        <v>13</v>
      </c>
      <c r="C113" s="61">
        <v>4823114029691</v>
      </c>
      <c r="D113" s="61" t="s">
        <v>854</v>
      </c>
      <c r="E113" s="61">
        <f ca="1">IFERROR(__xludf.DUMMYFUNCTION("VLOOKUP(SPLIT(D113,"".""),SPLIT(D113,"".""),1)"),52145)</f>
        <v>52145</v>
      </c>
      <c r="F113" s="61" t="s">
        <v>848</v>
      </c>
      <c r="G113" s="63" t="s">
        <v>818</v>
      </c>
      <c r="H113" s="203">
        <v>7.8</v>
      </c>
      <c r="I113" s="204">
        <v>15.61</v>
      </c>
      <c r="J113" s="79"/>
    </row>
    <row r="114" spans="1:10" ht="15">
      <c r="A114" s="43"/>
      <c r="B114" s="125" t="s">
        <v>13</v>
      </c>
      <c r="C114" s="61">
        <v>4823114029707</v>
      </c>
      <c r="D114" s="61" t="s">
        <v>855</v>
      </c>
      <c r="E114" s="61">
        <f ca="1">IFERROR(__xludf.DUMMYFUNCTION("VLOOKUP(SPLIT(D114,"".""),SPLIT(D114,"".""),1)"),52146)</f>
        <v>52146</v>
      </c>
      <c r="F114" s="61" t="s">
        <v>848</v>
      </c>
      <c r="G114" s="63" t="s">
        <v>19</v>
      </c>
      <c r="H114" s="203">
        <v>7.8</v>
      </c>
      <c r="I114" s="204">
        <v>15.61</v>
      </c>
      <c r="J114" s="79"/>
    </row>
    <row r="115" spans="1:10" ht="15">
      <c r="A115" s="43"/>
      <c r="B115" s="126" t="s">
        <v>13</v>
      </c>
      <c r="C115" s="61">
        <v>4823114029714</v>
      </c>
      <c r="D115" s="61" t="s">
        <v>856</v>
      </c>
      <c r="E115" s="61">
        <f ca="1">IFERROR(__xludf.DUMMYFUNCTION("VLOOKUP(SPLIT(D115,"".""),SPLIT(D115,"".""),1)"),52147)</f>
        <v>52147</v>
      </c>
      <c r="F115" s="61" t="s">
        <v>857</v>
      </c>
      <c r="G115" s="63" t="s">
        <v>16</v>
      </c>
      <c r="H115" s="203">
        <v>8.9</v>
      </c>
      <c r="I115" s="204">
        <v>17.79</v>
      </c>
      <c r="J115" s="79"/>
    </row>
    <row r="116" spans="1:10" ht="15">
      <c r="A116" s="43"/>
      <c r="B116" s="126" t="s">
        <v>13</v>
      </c>
      <c r="C116" s="61">
        <v>4823114029721</v>
      </c>
      <c r="D116" s="61" t="s">
        <v>858</v>
      </c>
      <c r="E116" s="61">
        <f ca="1">IFERROR(__xludf.DUMMYFUNCTION("VLOOKUP(SPLIT(D116,"".""),SPLIT(D116,"".""),1)"),52148)</f>
        <v>52148</v>
      </c>
      <c r="F116" s="61" t="s">
        <v>857</v>
      </c>
      <c r="G116" s="63" t="s">
        <v>810</v>
      </c>
      <c r="H116" s="203">
        <v>8.9</v>
      </c>
      <c r="I116" s="204">
        <v>17.79</v>
      </c>
      <c r="J116" s="79"/>
    </row>
    <row r="117" spans="1:10" ht="15">
      <c r="A117" s="43"/>
      <c r="B117" s="126" t="s">
        <v>13</v>
      </c>
      <c r="C117" s="61">
        <v>4823114029738</v>
      </c>
      <c r="D117" s="61" t="s">
        <v>859</v>
      </c>
      <c r="E117" s="61">
        <f ca="1">IFERROR(__xludf.DUMMYFUNCTION("VLOOKUP(SPLIT(D117,"".""),SPLIT(D117,"".""),1)"),52149)</f>
        <v>52149</v>
      </c>
      <c r="F117" s="61" t="s">
        <v>857</v>
      </c>
      <c r="G117" s="63" t="s">
        <v>148</v>
      </c>
      <c r="H117" s="203">
        <v>8.9</v>
      </c>
      <c r="I117" s="204">
        <v>17.79</v>
      </c>
      <c r="J117" s="79"/>
    </row>
    <row r="118" spans="1:10" ht="15">
      <c r="A118" s="43"/>
      <c r="B118" s="126" t="s">
        <v>13</v>
      </c>
      <c r="C118" s="61">
        <v>4823114029745</v>
      </c>
      <c r="D118" s="61" t="s">
        <v>860</v>
      </c>
      <c r="E118" s="61">
        <f ca="1">IFERROR(__xludf.DUMMYFUNCTION("VLOOKUP(SPLIT(D118,"".""),SPLIT(D118,"".""),1)"),52150)</f>
        <v>52150</v>
      </c>
      <c r="F118" s="61" t="s">
        <v>857</v>
      </c>
      <c r="G118" s="63" t="s">
        <v>468</v>
      </c>
      <c r="H118" s="203">
        <v>8.9</v>
      </c>
      <c r="I118" s="204">
        <v>17.79</v>
      </c>
      <c r="J118" s="79"/>
    </row>
    <row r="119" spans="1:10" ht="15">
      <c r="A119" s="43"/>
      <c r="B119" s="126" t="s">
        <v>13</v>
      </c>
      <c r="C119" s="61">
        <v>4823114029752</v>
      </c>
      <c r="D119" s="61" t="s">
        <v>861</v>
      </c>
      <c r="E119" s="61">
        <f ca="1">IFERROR(__xludf.DUMMYFUNCTION("VLOOKUP(SPLIT(D119,"".""),SPLIT(D119,"".""),1)"),52151)</f>
        <v>52151</v>
      </c>
      <c r="F119" s="61" t="s">
        <v>857</v>
      </c>
      <c r="G119" s="63" t="s">
        <v>814</v>
      </c>
      <c r="H119" s="203">
        <v>8.9</v>
      </c>
      <c r="I119" s="204">
        <v>17.79</v>
      </c>
      <c r="J119" s="79"/>
    </row>
    <row r="120" spans="1:10" ht="15">
      <c r="A120" s="43"/>
      <c r="B120" s="126" t="s">
        <v>13</v>
      </c>
      <c r="C120" s="61">
        <v>4823114029769</v>
      </c>
      <c r="D120" s="61" t="s">
        <v>862</v>
      </c>
      <c r="E120" s="61">
        <f ca="1">IFERROR(__xludf.DUMMYFUNCTION("VLOOKUP(SPLIT(D120,"".""),SPLIT(D120,"".""),1)"),52152)</f>
        <v>52152</v>
      </c>
      <c r="F120" s="61" t="s">
        <v>857</v>
      </c>
      <c r="G120" s="63" t="s">
        <v>816</v>
      </c>
      <c r="H120" s="203">
        <v>8.9</v>
      </c>
      <c r="I120" s="204">
        <v>17.79</v>
      </c>
      <c r="J120" s="79"/>
    </row>
    <row r="121" spans="1:10" ht="15">
      <c r="A121" s="43"/>
      <c r="B121" s="126" t="s">
        <v>13</v>
      </c>
      <c r="C121" s="69">
        <v>4823114029776</v>
      </c>
      <c r="D121" s="69" t="s">
        <v>863</v>
      </c>
      <c r="E121" s="69">
        <f ca="1">IFERROR(__xludf.DUMMYFUNCTION("VLOOKUP(SPLIT(D121,"".""),SPLIT(D121,"".""),1)"),52153)</f>
        <v>52153</v>
      </c>
      <c r="F121" s="69" t="s">
        <v>857</v>
      </c>
      <c r="G121" s="70" t="s">
        <v>818</v>
      </c>
      <c r="H121" s="203">
        <v>8.9</v>
      </c>
      <c r="I121" s="204">
        <v>17.79</v>
      </c>
      <c r="J121" s="79"/>
    </row>
    <row r="122" spans="1:10" ht="15">
      <c r="A122" s="43"/>
      <c r="B122" s="126" t="s">
        <v>13</v>
      </c>
      <c r="C122" s="87">
        <v>4823114029783</v>
      </c>
      <c r="D122" s="87" t="s">
        <v>864</v>
      </c>
      <c r="E122" s="87">
        <f ca="1">IFERROR(__xludf.DUMMYFUNCTION("VLOOKUP(SPLIT(D122,"".""),SPLIT(D122,"".""),1)"),52154)</f>
        <v>52154</v>
      </c>
      <c r="F122" s="87" t="s">
        <v>857</v>
      </c>
      <c r="G122" s="88" t="s">
        <v>19</v>
      </c>
      <c r="H122" s="203">
        <v>8.9</v>
      </c>
      <c r="I122" s="204">
        <v>17.79</v>
      </c>
      <c r="J122" s="79"/>
    </row>
    <row r="123" spans="1:10" ht="15">
      <c r="A123" s="43"/>
      <c r="B123" s="130"/>
      <c r="C123" s="254"/>
      <c r="D123" s="254"/>
      <c r="E123" s="255"/>
      <c r="F123" s="255"/>
      <c r="G123" s="256"/>
      <c r="H123" s="256"/>
      <c r="I123" s="257"/>
      <c r="J123" s="98"/>
    </row>
    <row r="124" spans="1:10" ht="15">
      <c r="A124" s="43"/>
      <c r="B124" s="258" t="s">
        <v>865</v>
      </c>
      <c r="C124" s="96"/>
      <c r="D124" s="96"/>
      <c r="E124" s="9"/>
      <c r="F124" s="9"/>
      <c r="G124" s="10"/>
      <c r="H124" s="10"/>
      <c r="I124" s="97"/>
      <c r="J124" s="98"/>
    </row>
    <row r="125" spans="1:10" ht="15">
      <c r="A125" s="43"/>
      <c r="B125" s="2"/>
      <c r="C125" s="79"/>
      <c r="D125" s="79"/>
      <c r="E125" s="2"/>
      <c r="F125" s="2"/>
      <c r="G125" s="2"/>
      <c r="H125" s="2"/>
      <c r="I125" s="2"/>
      <c r="J125" s="98"/>
    </row>
    <row r="126" spans="1:10" ht="15">
      <c r="A126" s="43"/>
      <c r="B126" s="251" t="s">
        <v>806</v>
      </c>
      <c r="C126" s="79"/>
      <c r="D126" s="79"/>
      <c r="E126" s="2"/>
      <c r="F126" s="2"/>
      <c r="G126" s="2"/>
      <c r="H126" s="2"/>
      <c r="I126" s="2"/>
      <c r="J126" s="98"/>
    </row>
    <row r="127" spans="1:10" ht="15">
      <c r="A127" s="43"/>
      <c r="B127" s="2"/>
      <c r="C127" s="79"/>
      <c r="D127" s="79"/>
      <c r="E127" s="2"/>
      <c r="F127" s="2"/>
      <c r="G127" s="2"/>
      <c r="H127" s="2"/>
      <c r="I127" s="2"/>
      <c r="J127" s="98"/>
    </row>
    <row r="128" spans="1:10" ht="15">
      <c r="A128" s="43"/>
      <c r="B128" s="334"/>
      <c r="C128" s="297"/>
      <c r="D128" s="297"/>
      <c r="E128" s="297"/>
      <c r="F128" s="297"/>
      <c r="G128" s="297"/>
      <c r="H128" s="297"/>
      <c r="I128" s="298"/>
      <c r="J128" s="98"/>
    </row>
    <row r="129" spans="1:10" ht="15">
      <c r="A129" s="43"/>
      <c r="B129" s="333"/>
      <c r="C129" s="329"/>
      <c r="D129" s="329"/>
      <c r="E129" s="329"/>
      <c r="F129" s="329"/>
      <c r="G129" s="329"/>
      <c r="H129" s="329"/>
      <c r="I129" s="330"/>
      <c r="J129" s="98"/>
    </row>
    <row r="130" spans="1:10" ht="15">
      <c r="A130" s="43"/>
      <c r="B130" s="333"/>
      <c r="C130" s="329"/>
      <c r="D130" s="329"/>
      <c r="E130" s="329"/>
      <c r="F130" s="329"/>
      <c r="G130" s="329"/>
      <c r="H130" s="329"/>
      <c r="I130" s="330"/>
      <c r="J130" s="98"/>
    </row>
    <row r="131" spans="1:10" ht="15">
      <c r="A131" s="43"/>
      <c r="B131" s="299"/>
      <c r="C131" s="300"/>
      <c r="D131" s="300"/>
      <c r="E131" s="300"/>
      <c r="F131" s="300"/>
      <c r="G131" s="300"/>
      <c r="H131" s="300"/>
      <c r="I131" s="301"/>
      <c r="J131" s="98"/>
    </row>
    <row r="132" spans="1:10" ht="15">
      <c r="A132" s="43"/>
      <c r="B132" s="52"/>
      <c r="C132" s="253"/>
      <c r="D132" s="253"/>
      <c r="E132" s="52"/>
      <c r="F132" s="52"/>
      <c r="G132" s="52"/>
      <c r="H132" s="52"/>
      <c r="I132" s="52"/>
      <c r="J132" s="98"/>
    </row>
    <row r="133" spans="1:10" ht="30">
      <c r="A133" s="43"/>
      <c r="B133" s="16" t="s">
        <v>4</v>
      </c>
      <c r="C133" s="55" t="s">
        <v>5</v>
      </c>
      <c r="D133" s="99" t="s">
        <v>6</v>
      </c>
      <c r="E133" s="100" t="s">
        <v>7</v>
      </c>
      <c r="F133" s="100" t="s">
        <v>8</v>
      </c>
      <c r="G133" s="101" t="s">
        <v>9</v>
      </c>
      <c r="H133" s="58" t="s">
        <v>11</v>
      </c>
      <c r="I133" s="59" t="s">
        <v>12</v>
      </c>
      <c r="J133" s="79"/>
    </row>
    <row r="134" spans="1:10" ht="15">
      <c r="A134" s="43"/>
      <c r="B134" s="137" t="s">
        <v>13</v>
      </c>
      <c r="C134" s="87">
        <v>4823114061295</v>
      </c>
      <c r="D134" s="87" t="s">
        <v>866</v>
      </c>
      <c r="E134" s="87">
        <v>98607</v>
      </c>
      <c r="F134" s="87" t="s">
        <v>867</v>
      </c>
      <c r="G134" s="88" t="s">
        <v>16</v>
      </c>
      <c r="H134" s="36">
        <v>15.33</v>
      </c>
      <c r="I134" s="259">
        <v>30.66</v>
      </c>
      <c r="J134" s="79"/>
    </row>
    <row r="135" spans="1:10" ht="15">
      <c r="A135" s="43"/>
      <c r="B135" s="137" t="s">
        <v>13</v>
      </c>
      <c r="C135" s="87">
        <v>4823114061370</v>
      </c>
      <c r="D135" s="87" t="s">
        <v>868</v>
      </c>
      <c r="E135" s="87">
        <v>91254</v>
      </c>
      <c r="F135" s="87" t="s">
        <v>867</v>
      </c>
      <c r="G135" s="88" t="s">
        <v>19</v>
      </c>
      <c r="H135" s="36">
        <v>15.33</v>
      </c>
      <c r="I135" s="259">
        <v>30.66</v>
      </c>
      <c r="J135" s="79"/>
    </row>
    <row r="136" spans="1:10" ht="15">
      <c r="A136" s="43"/>
      <c r="B136" s="137" t="s">
        <v>13</v>
      </c>
      <c r="C136" s="87">
        <v>4823114061356</v>
      </c>
      <c r="D136" s="87" t="s">
        <v>869</v>
      </c>
      <c r="E136" s="87">
        <v>98613</v>
      </c>
      <c r="F136" s="87" t="s">
        <v>867</v>
      </c>
      <c r="G136" s="88" t="s">
        <v>818</v>
      </c>
      <c r="H136" s="36">
        <v>15.33</v>
      </c>
      <c r="I136" s="259">
        <v>30.66</v>
      </c>
      <c r="J136" s="79"/>
    </row>
    <row r="137" spans="1:10" ht="15">
      <c r="A137" s="43"/>
      <c r="B137" s="137" t="s">
        <v>13</v>
      </c>
      <c r="C137" s="87">
        <v>4823114061349</v>
      </c>
      <c r="D137" s="87" t="s">
        <v>870</v>
      </c>
      <c r="E137" s="87">
        <v>98612</v>
      </c>
      <c r="F137" s="87" t="s">
        <v>867</v>
      </c>
      <c r="G137" s="88" t="s">
        <v>816</v>
      </c>
      <c r="H137" s="36">
        <v>15.33</v>
      </c>
      <c r="I137" s="259">
        <v>30.66</v>
      </c>
      <c r="J137" s="79"/>
    </row>
    <row r="138" spans="1:10" ht="15">
      <c r="A138" s="43"/>
      <c r="B138" s="137" t="s">
        <v>13</v>
      </c>
      <c r="C138" s="87">
        <v>4823114061332</v>
      </c>
      <c r="D138" s="87" t="s">
        <v>871</v>
      </c>
      <c r="E138" s="87">
        <v>98611</v>
      </c>
      <c r="F138" s="87" t="s">
        <v>867</v>
      </c>
      <c r="G138" s="88" t="s">
        <v>814</v>
      </c>
      <c r="H138" s="36">
        <v>15.33</v>
      </c>
      <c r="I138" s="259">
        <v>30.66</v>
      </c>
      <c r="J138" s="79"/>
    </row>
    <row r="139" spans="1:10" ht="15">
      <c r="A139" s="43"/>
      <c r="B139" s="137" t="s">
        <v>13</v>
      </c>
      <c r="C139" s="87">
        <v>4823114061325</v>
      </c>
      <c r="D139" s="87" t="s">
        <v>872</v>
      </c>
      <c r="E139" s="87">
        <v>98610</v>
      </c>
      <c r="F139" s="87" t="s">
        <v>867</v>
      </c>
      <c r="G139" s="88" t="s">
        <v>468</v>
      </c>
      <c r="H139" s="36">
        <v>15.33</v>
      </c>
      <c r="I139" s="259">
        <v>30.66</v>
      </c>
      <c r="J139" s="79"/>
    </row>
    <row r="140" spans="1:10" ht="15">
      <c r="A140" s="43"/>
      <c r="B140" s="137" t="s">
        <v>13</v>
      </c>
      <c r="C140" s="87">
        <v>4823114061318</v>
      </c>
      <c r="D140" s="86" t="s">
        <v>873</v>
      </c>
      <c r="E140" s="87">
        <v>98609</v>
      </c>
      <c r="F140" s="87" t="s">
        <v>867</v>
      </c>
      <c r="G140" s="88" t="s">
        <v>148</v>
      </c>
      <c r="H140" s="36">
        <v>15.33</v>
      </c>
      <c r="I140" s="259">
        <v>30.66</v>
      </c>
      <c r="J140" s="79"/>
    </row>
    <row r="141" spans="1:10" ht="15">
      <c r="A141" s="43"/>
      <c r="B141" s="137" t="s">
        <v>13</v>
      </c>
      <c r="C141" s="87">
        <v>4823114061301</v>
      </c>
      <c r="D141" s="86" t="s">
        <v>874</v>
      </c>
      <c r="E141" s="87">
        <v>98608</v>
      </c>
      <c r="F141" s="87" t="s">
        <v>867</v>
      </c>
      <c r="G141" s="88" t="s">
        <v>810</v>
      </c>
      <c r="H141" s="36">
        <v>15.33</v>
      </c>
      <c r="I141" s="259">
        <v>30.66</v>
      </c>
      <c r="J141" s="79"/>
    </row>
    <row r="142" spans="1:10" ht="15">
      <c r="A142" s="43"/>
      <c r="B142" s="137" t="s">
        <v>13</v>
      </c>
      <c r="C142" s="87">
        <v>4823114061080</v>
      </c>
      <c r="D142" s="87" t="s">
        <v>875</v>
      </c>
      <c r="E142" s="87">
        <v>98585</v>
      </c>
      <c r="F142" s="87" t="s">
        <v>876</v>
      </c>
      <c r="G142" s="88" t="s">
        <v>16</v>
      </c>
      <c r="H142" s="36">
        <v>14.08</v>
      </c>
      <c r="I142" s="259">
        <v>28.16</v>
      </c>
      <c r="J142" s="79"/>
    </row>
    <row r="143" spans="1:10" ht="15">
      <c r="A143" s="43"/>
      <c r="B143" s="137" t="s">
        <v>13</v>
      </c>
      <c r="C143" s="87">
        <v>4823114060984</v>
      </c>
      <c r="D143" s="87" t="s">
        <v>877</v>
      </c>
      <c r="E143" s="87">
        <v>91250</v>
      </c>
      <c r="F143" s="87" t="s">
        <v>876</v>
      </c>
      <c r="G143" s="88" t="s">
        <v>19</v>
      </c>
      <c r="H143" s="36">
        <v>14.08</v>
      </c>
      <c r="I143" s="259">
        <v>28.16</v>
      </c>
      <c r="J143" s="79"/>
    </row>
    <row r="144" spans="1:10" ht="15">
      <c r="A144" s="43"/>
      <c r="B144" s="137" t="s">
        <v>13</v>
      </c>
      <c r="C144" s="87">
        <v>4823114061141</v>
      </c>
      <c r="D144" s="87" t="s">
        <v>878</v>
      </c>
      <c r="E144" s="87">
        <v>98591</v>
      </c>
      <c r="F144" s="87" t="s">
        <v>876</v>
      </c>
      <c r="G144" s="88" t="s">
        <v>818</v>
      </c>
      <c r="H144" s="36">
        <v>14.08</v>
      </c>
      <c r="I144" s="259">
        <v>28.16</v>
      </c>
      <c r="J144" s="79"/>
    </row>
    <row r="145" spans="1:10" ht="15">
      <c r="A145" s="43"/>
      <c r="B145" s="137" t="s">
        <v>13</v>
      </c>
      <c r="C145" s="87">
        <v>4823114061134</v>
      </c>
      <c r="D145" s="87" t="s">
        <v>879</v>
      </c>
      <c r="E145" s="87">
        <v>98590</v>
      </c>
      <c r="F145" s="87" t="s">
        <v>876</v>
      </c>
      <c r="G145" s="88" t="s">
        <v>816</v>
      </c>
      <c r="H145" s="36">
        <v>14.08</v>
      </c>
      <c r="I145" s="259">
        <v>28.16</v>
      </c>
      <c r="J145" s="79"/>
    </row>
    <row r="146" spans="1:10" ht="15">
      <c r="A146" s="43"/>
      <c r="B146" s="137" t="s">
        <v>13</v>
      </c>
      <c r="C146" s="87">
        <v>4823114061127</v>
      </c>
      <c r="D146" s="87" t="s">
        <v>880</v>
      </c>
      <c r="E146" s="87">
        <v>98589</v>
      </c>
      <c r="F146" s="87" t="s">
        <v>876</v>
      </c>
      <c r="G146" s="88" t="s">
        <v>814</v>
      </c>
      <c r="H146" s="36">
        <v>14.08</v>
      </c>
      <c r="I146" s="259">
        <v>28.16</v>
      </c>
      <c r="J146" s="79"/>
    </row>
    <row r="147" spans="1:10" ht="15">
      <c r="A147" s="43"/>
      <c r="B147" s="137" t="s">
        <v>13</v>
      </c>
      <c r="C147" s="87">
        <v>4823114061110</v>
      </c>
      <c r="D147" s="87" t="s">
        <v>881</v>
      </c>
      <c r="E147" s="87">
        <v>98588</v>
      </c>
      <c r="F147" s="87" t="s">
        <v>876</v>
      </c>
      <c r="G147" s="88" t="s">
        <v>468</v>
      </c>
      <c r="H147" s="36">
        <v>14.08</v>
      </c>
      <c r="I147" s="259">
        <v>28.16</v>
      </c>
      <c r="J147" s="79"/>
    </row>
    <row r="148" spans="1:10" ht="15">
      <c r="A148" s="43"/>
      <c r="B148" s="137" t="s">
        <v>13</v>
      </c>
      <c r="C148" s="87">
        <v>4823114061103</v>
      </c>
      <c r="D148" s="87" t="s">
        <v>882</v>
      </c>
      <c r="E148" s="87">
        <v>98587</v>
      </c>
      <c r="F148" s="87" t="s">
        <v>876</v>
      </c>
      <c r="G148" s="88" t="s">
        <v>148</v>
      </c>
      <c r="H148" s="36">
        <v>14.08</v>
      </c>
      <c r="I148" s="259">
        <v>28.16</v>
      </c>
      <c r="J148" s="79"/>
    </row>
    <row r="149" spans="1:10" ht="15">
      <c r="A149" s="43"/>
      <c r="B149" s="137" t="s">
        <v>13</v>
      </c>
      <c r="C149" s="87">
        <v>4823114061097</v>
      </c>
      <c r="D149" s="87" t="s">
        <v>883</v>
      </c>
      <c r="E149" s="87">
        <v>98586</v>
      </c>
      <c r="F149" s="87" t="s">
        <v>876</v>
      </c>
      <c r="G149" s="88" t="s">
        <v>810</v>
      </c>
      <c r="H149" s="36">
        <v>14.08</v>
      </c>
      <c r="I149" s="259">
        <v>28.16</v>
      </c>
      <c r="J149" s="79"/>
    </row>
    <row r="150" spans="1:10" ht="15">
      <c r="A150" s="43"/>
      <c r="B150" s="137" t="s">
        <v>13</v>
      </c>
      <c r="C150" s="87">
        <v>4823114061011</v>
      </c>
      <c r="D150" s="87" t="s">
        <v>884</v>
      </c>
      <c r="E150" s="87">
        <v>98578</v>
      </c>
      <c r="F150" s="87" t="s">
        <v>885</v>
      </c>
      <c r="G150" s="88" t="s">
        <v>16</v>
      </c>
      <c r="H150" s="36">
        <v>14.08</v>
      </c>
      <c r="I150" s="259">
        <v>28.16</v>
      </c>
      <c r="J150" s="79"/>
    </row>
    <row r="151" spans="1:10" ht="15">
      <c r="A151" s="43"/>
      <c r="B151" s="137" t="s">
        <v>13</v>
      </c>
      <c r="C151" s="87">
        <v>4823114060991</v>
      </c>
      <c r="D151" s="87" t="s">
        <v>886</v>
      </c>
      <c r="E151" s="87">
        <v>91252</v>
      </c>
      <c r="F151" s="87" t="s">
        <v>885</v>
      </c>
      <c r="G151" s="88" t="s">
        <v>19</v>
      </c>
      <c r="H151" s="36">
        <v>14.08</v>
      </c>
      <c r="I151" s="259">
        <v>28.16</v>
      </c>
      <c r="J151" s="79"/>
    </row>
    <row r="152" spans="1:10" ht="15">
      <c r="A152" s="43"/>
      <c r="B152" s="137" t="s">
        <v>13</v>
      </c>
      <c r="C152" s="87">
        <v>4823114061073</v>
      </c>
      <c r="D152" s="87" t="s">
        <v>887</v>
      </c>
      <c r="E152" s="87">
        <v>98584</v>
      </c>
      <c r="F152" s="87" t="s">
        <v>885</v>
      </c>
      <c r="G152" s="88" t="s">
        <v>818</v>
      </c>
      <c r="H152" s="36">
        <v>14.08</v>
      </c>
      <c r="I152" s="259">
        <v>28.16</v>
      </c>
      <c r="J152" s="79"/>
    </row>
    <row r="153" spans="1:10" ht="15">
      <c r="A153" s="43"/>
      <c r="B153" s="137" t="s">
        <v>13</v>
      </c>
      <c r="C153" s="87">
        <v>4823114061066</v>
      </c>
      <c r="D153" s="87" t="s">
        <v>888</v>
      </c>
      <c r="E153" s="87">
        <v>98583</v>
      </c>
      <c r="F153" s="87" t="s">
        <v>885</v>
      </c>
      <c r="G153" s="88" t="s">
        <v>816</v>
      </c>
      <c r="H153" s="36">
        <v>14.08</v>
      </c>
      <c r="I153" s="259">
        <v>28.16</v>
      </c>
      <c r="J153" s="79"/>
    </row>
    <row r="154" spans="1:10" ht="15">
      <c r="A154" s="43"/>
      <c r="B154" s="137" t="s">
        <v>13</v>
      </c>
      <c r="C154" s="87">
        <v>4823114061059</v>
      </c>
      <c r="D154" s="87" t="s">
        <v>889</v>
      </c>
      <c r="E154" s="87">
        <v>98582</v>
      </c>
      <c r="F154" s="87" t="s">
        <v>885</v>
      </c>
      <c r="G154" s="88" t="s">
        <v>814</v>
      </c>
      <c r="H154" s="36">
        <v>14.08</v>
      </c>
      <c r="I154" s="259">
        <v>28.16</v>
      </c>
      <c r="J154" s="79"/>
    </row>
    <row r="155" spans="1:10" ht="15">
      <c r="A155" s="43"/>
      <c r="B155" s="137" t="s">
        <v>13</v>
      </c>
      <c r="C155" s="87">
        <v>4823114061042</v>
      </c>
      <c r="D155" s="87" t="s">
        <v>890</v>
      </c>
      <c r="E155" s="87">
        <v>98581</v>
      </c>
      <c r="F155" s="87" t="s">
        <v>885</v>
      </c>
      <c r="G155" s="88" t="s">
        <v>468</v>
      </c>
      <c r="H155" s="36">
        <v>14.08</v>
      </c>
      <c r="I155" s="259">
        <v>28.16</v>
      </c>
      <c r="J155" s="79"/>
    </row>
    <row r="156" spans="1:10" ht="15">
      <c r="A156" s="43"/>
      <c r="B156" s="137" t="s">
        <v>13</v>
      </c>
      <c r="C156" s="87">
        <v>4823114061035</v>
      </c>
      <c r="D156" s="87" t="s">
        <v>891</v>
      </c>
      <c r="E156" s="87">
        <v>98580</v>
      </c>
      <c r="F156" s="87" t="s">
        <v>885</v>
      </c>
      <c r="G156" s="88" t="s">
        <v>148</v>
      </c>
      <c r="H156" s="36">
        <v>14.08</v>
      </c>
      <c r="I156" s="259">
        <v>28.16</v>
      </c>
      <c r="J156" s="79"/>
    </row>
    <row r="157" spans="1:10" ht="15">
      <c r="A157" s="43"/>
      <c r="B157" s="137" t="s">
        <v>13</v>
      </c>
      <c r="C157" s="87">
        <v>4823114061028</v>
      </c>
      <c r="D157" s="87" t="s">
        <v>892</v>
      </c>
      <c r="E157" s="87">
        <v>98579</v>
      </c>
      <c r="F157" s="87" t="s">
        <v>885</v>
      </c>
      <c r="G157" s="88" t="s">
        <v>810</v>
      </c>
      <c r="H157" s="36">
        <v>14.08</v>
      </c>
      <c r="I157" s="259">
        <v>28.16</v>
      </c>
      <c r="J157" s="79"/>
    </row>
    <row r="158" spans="1:10" ht="15">
      <c r="A158" s="2"/>
      <c r="B158" s="74"/>
      <c r="C158" s="75"/>
      <c r="D158" s="75"/>
      <c r="E158" s="75"/>
      <c r="F158" s="75"/>
      <c r="G158" s="76"/>
      <c r="H158" s="76"/>
      <c r="I158" s="76"/>
      <c r="J158" s="2"/>
    </row>
    <row r="159" spans="1:10" ht="15">
      <c r="A159" s="112"/>
      <c r="B159" s="74"/>
      <c r="C159" s="260"/>
      <c r="D159" s="260"/>
      <c r="E159" s="170"/>
      <c r="F159" s="170"/>
      <c r="G159" s="261"/>
      <c r="H159" s="156"/>
      <c r="I159" s="156"/>
      <c r="J159" s="1"/>
    </row>
    <row r="160" spans="1:10" ht="15">
      <c r="A160" s="112"/>
      <c r="B160" s="51" t="s">
        <v>893</v>
      </c>
      <c r="C160" s="9"/>
      <c r="D160" s="9"/>
      <c r="E160" s="9"/>
      <c r="F160" s="9"/>
      <c r="G160" s="10"/>
      <c r="H160" s="10"/>
      <c r="I160" s="97"/>
      <c r="J160" s="1"/>
    </row>
    <row r="161" spans="1:10" ht="15">
      <c r="A161" s="112"/>
      <c r="B161" s="335" t="s">
        <v>894</v>
      </c>
      <c r="C161" s="297"/>
      <c r="D161" s="297"/>
      <c r="E161" s="297"/>
      <c r="F161" s="297"/>
      <c r="G161" s="297"/>
      <c r="H161" s="298"/>
      <c r="I161" s="97"/>
      <c r="J161" s="1"/>
    </row>
    <row r="162" spans="1:10" ht="15">
      <c r="A162" s="112"/>
      <c r="B162" s="333"/>
      <c r="C162" s="329"/>
      <c r="D162" s="329"/>
      <c r="E162" s="329"/>
      <c r="F162" s="329"/>
      <c r="G162" s="329"/>
      <c r="H162" s="330"/>
      <c r="I162" s="97"/>
      <c r="J162" s="1"/>
    </row>
    <row r="163" spans="1:10" ht="15">
      <c r="A163" s="112"/>
      <c r="B163" s="333"/>
      <c r="C163" s="329"/>
      <c r="D163" s="329"/>
      <c r="E163" s="329"/>
      <c r="F163" s="329"/>
      <c r="G163" s="329"/>
      <c r="H163" s="330"/>
      <c r="I163" s="97"/>
      <c r="J163" s="1"/>
    </row>
    <row r="164" spans="1:10" ht="15">
      <c r="A164" s="112"/>
      <c r="B164" s="299"/>
      <c r="C164" s="300"/>
      <c r="D164" s="300"/>
      <c r="E164" s="300"/>
      <c r="F164" s="300"/>
      <c r="G164" s="300"/>
      <c r="H164" s="301"/>
      <c r="I164" s="97"/>
      <c r="J164" s="1"/>
    </row>
    <row r="165" spans="1:10" ht="15">
      <c r="A165" s="112"/>
      <c r="B165" s="2"/>
      <c r="C165" s="96"/>
      <c r="D165" s="96"/>
      <c r="E165" s="9"/>
      <c r="F165" s="9"/>
      <c r="G165" s="10"/>
      <c r="H165" s="10"/>
      <c r="I165" s="97"/>
      <c r="J165" s="1"/>
    </row>
    <row r="166" spans="1:10" ht="30">
      <c r="A166" s="112"/>
      <c r="B166" s="16" t="s">
        <v>4</v>
      </c>
      <c r="C166" s="55" t="s">
        <v>5</v>
      </c>
      <c r="D166" s="99" t="s">
        <v>6</v>
      </c>
      <c r="E166" s="100" t="s">
        <v>7</v>
      </c>
      <c r="F166" s="100" t="s">
        <v>8</v>
      </c>
      <c r="G166" s="101" t="s">
        <v>9</v>
      </c>
      <c r="H166" s="58" t="s">
        <v>11</v>
      </c>
      <c r="I166" s="59" t="s">
        <v>12</v>
      </c>
      <c r="J166" s="1"/>
    </row>
    <row r="167" spans="1:10" ht="15">
      <c r="A167" s="43"/>
      <c r="B167" s="247" t="s">
        <v>13</v>
      </c>
      <c r="C167" s="61">
        <v>4823114045127</v>
      </c>
      <c r="D167" s="33" t="s">
        <v>895</v>
      </c>
      <c r="E167" s="61">
        <f ca="1">IFERROR(__xludf.DUMMYFUNCTION("VLOOKUP(SPLIT(D167,"".""),SPLIT(D167,"".""),1)"),72569)</f>
        <v>72569</v>
      </c>
      <c r="F167" s="61" t="s">
        <v>896</v>
      </c>
      <c r="G167" s="63" t="s">
        <v>25</v>
      </c>
      <c r="H167" s="262">
        <v>30</v>
      </c>
      <c r="I167" s="263">
        <v>60</v>
      </c>
      <c r="J167" s="79"/>
    </row>
    <row r="168" spans="1:10" ht="15">
      <c r="A168" s="112"/>
      <c r="B168" s="137" t="s">
        <v>13</v>
      </c>
      <c r="C168" s="87">
        <v>4823114062155</v>
      </c>
      <c r="D168" s="33" t="s">
        <v>897</v>
      </c>
      <c r="E168" s="87">
        <v>102913</v>
      </c>
      <c r="F168" s="87" t="s">
        <v>898</v>
      </c>
      <c r="G168" s="88" t="s">
        <v>25</v>
      </c>
      <c r="H168" s="36">
        <v>8.44</v>
      </c>
      <c r="I168" s="36">
        <v>16.88</v>
      </c>
      <c r="J168" s="1"/>
    </row>
    <row r="169" spans="1:10" ht="15">
      <c r="A169" s="112"/>
      <c r="B169" s="137" t="s">
        <v>13</v>
      </c>
      <c r="C169" s="87">
        <v>4823114062179</v>
      </c>
      <c r="D169" s="33" t="s">
        <v>899</v>
      </c>
      <c r="E169" s="87">
        <v>102915</v>
      </c>
      <c r="F169" s="87" t="s">
        <v>900</v>
      </c>
      <c r="G169" s="88" t="s">
        <v>25</v>
      </c>
      <c r="H169" s="36">
        <v>8.44</v>
      </c>
      <c r="I169" s="36">
        <v>16.88</v>
      </c>
      <c r="J169" s="1"/>
    </row>
    <row r="170" spans="1:10" ht="15">
      <c r="A170" s="112"/>
      <c r="B170" s="123" t="s">
        <v>13</v>
      </c>
      <c r="C170" s="121">
        <v>4823114073502</v>
      </c>
      <c r="D170" s="162" t="s">
        <v>901</v>
      </c>
      <c r="E170" s="120">
        <v>128846</v>
      </c>
      <c r="F170" s="39" t="s">
        <v>902</v>
      </c>
      <c r="G170" s="42" t="s">
        <v>16</v>
      </c>
      <c r="H170" s="41">
        <v>6.83</v>
      </c>
      <c r="I170" s="41">
        <v>13.66</v>
      </c>
      <c r="J170" s="78"/>
    </row>
    <row r="171" spans="1:10" ht="15">
      <c r="A171" s="112"/>
      <c r="B171" s="123" t="s">
        <v>13</v>
      </c>
      <c r="C171" s="121">
        <v>4823114071294</v>
      </c>
      <c r="D171" s="162" t="s">
        <v>903</v>
      </c>
      <c r="E171" s="120">
        <v>126185</v>
      </c>
      <c r="F171" s="39" t="s">
        <v>902</v>
      </c>
      <c r="G171" s="42" t="s">
        <v>19</v>
      </c>
      <c r="H171" s="41">
        <v>6.83</v>
      </c>
      <c r="I171" s="41">
        <v>13.66</v>
      </c>
      <c r="J171" s="78"/>
    </row>
    <row r="172" spans="1:10" ht="15">
      <c r="A172" s="112"/>
      <c r="B172" s="123" t="s">
        <v>13</v>
      </c>
      <c r="C172" s="121">
        <v>4823114073519</v>
      </c>
      <c r="D172" s="162" t="s">
        <v>904</v>
      </c>
      <c r="E172" s="120">
        <v>128848</v>
      </c>
      <c r="F172" s="39" t="s">
        <v>905</v>
      </c>
      <c r="G172" s="42" t="s">
        <v>16</v>
      </c>
      <c r="H172" s="41">
        <v>6.83</v>
      </c>
      <c r="I172" s="41">
        <v>13.66</v>
      </c>
      <c r="J172" s="78"/>
    </row>
    <row r="173" spans="1:10" ht="15">
      <c r="A173" s="112"/>
      <c r="B173" s="123" t="s">
        <v>13</v>
      </c>
      <c r="C173" s="121">
        <v>4823114071300</v>
      </c>
      <c r="D173" s="162" t="s">
        <v>906</v>
      </c>
      <c r="E173" s="120">
        <v>126186</v>
      </c>
      <c r="F173" s="39" t="s">
        <v>905</v>
      </c>
      <c r="G173" s="42" t="s">
        <v>19</v>
      </c>
      <c r="H173" s="41">
        <v>6.83</v>
      </c>
      <c r="I173" s="41">
        <v>13.66</v>
      </c>
      <c r="J173" s="78"/>
    </row>
    <row r="174" spans="1:10" ht="15">
      <c r="A174" s="112"/>
      <c r="B174" s="74"/>
      <c r="C174" s="260"/>
      <c r="D174" s="260"/>
      <c r="E174" s="170"/>
      <c r="F174" s="170"/>
      <c r="G174" s="261"/>
      <c r="H174" s="156"/>
      <c r="I174" s="156"/>
      <c r="J174" s="1"/>
    </row>
    <row r="175" spans="1:10" ht="15">
      <c r="A175" s="43"/>
      <c r="B175" s="251" t="s">
        <v>806</v>
      </c>
      <c r="C175" s="96"/>
      <c r="D175" s="96"/>
      <c r="E175" s="9"/>
      <c r="F175" s="9"/>
      <c r="G175" s="10"/>
      <c r="H175" s="10"/>
      <c r="I175" s="97"/>
      <c r="J175" s="98"/>
    </row>
    <row r="176" spans="1:10" ht="15">
      <c r="A176" s="43"/>
      <c r="B176" s="2"/>
      <c r="C176" s="79"/>
      <c r="D176" s="79"/>
      <c r="E176" s="2"/>
      <c r="F176" s="2"/>
      <c r="G176" s="2"/>
      <c r="H176" s="2"/>
      <c r="I176" s="2"/>
      <c r="J176" s="98"/>
    </row>
    <row r="177" spans="1:10" ht="15">
      <c r="A177" s="2"/>
      <c r="B177" s="334"/>
      <c r="C177" s="297"/>
      <c r="D177" s="297"/>
      <c r="E177" s="297"/>
      <c r="F177" s="297"/>
      <c r="G177" s="297"/>
      <c r="H177" s="297"/>
      <c r="I177" s="298"/>
      <c r="J177" s="98"/>
    </row>
    <row r="178" spans="1:10" ht="15">
      <c r="A178" s="2"/>
      <c r="B178" s="333"/>
      <c r="C178" s="329"/>
      <c r="D178" s="329"/>
      <c r="E178" s="329"/>
      <c r="F178" s="329"/>
      <c r="G178" s="329"/>
      <c r="H178" s="329"/>
      <c r="I178" s="330"/>
      <c r="J178" s="98"/>
    </row>
    <row r="179" spans="1:10" ht="15">
      <c r="A179" s="2"/>
      <c r="B179" s="333"/>
      <c r="C179" s="329"/>
      <c r="D179" s="329"/>
      <c r="E179" s="329"/>
      <c r="F179" s="329"/>
      <c r="G179" s="329"/>
      <c r="H179" s="329"/>
      <c r="I179" s="330"/>
      <c r="J179" s="98"/>
    </row>
    <row r="180" spans="1:10" ht="15">
      <c r="A180" s="2"/>
      <c r="B180" s="299"/>
      <c r="C180" s="300"/>
      <c r="D180" s="300"/>
      <c r="E180" s="300"/>
      <c r="F180" s="300"/>
      <c r="G180" s="300"/>
      <c r="H180" s="300"/>
      <c r="I180" s="301"/>
      <c r="J180" s="98"/>
    </row>
    <row r="181" spans="1:10" ht="15">
      <c r="A181" s="1"/>
      <c r="B181" s="2"/>
      <c r="C181" s="3"/>
      <c r="D181" s="3"/>
      <c r="E181" s="3"/>
      <c r="F181" s="3"/>
      <c r="G181" s="4"/>
      <c r="H181" s="4"/>
      <c r="I181" s="4"/>
      <c r="J181" s="1"/>
    </row>
    <row r="182" spans="1:10" ht="30">
      <c r="A182" s="13"/>
      <c r="B182" s="16" t="s">
        <v>4</v>
      </c>
      <c r="C182" s="55" t="s">
        <v>5</v>
      </c>
      <c r="D182" s="99" t="s">
        <v>6</v>
      </c>
      <c r="E182" s="100" t="s">
        <v>7</v>
      </c>
      <c r="F182" s="100" t="s">
        <v>8</v>
      </c>
      <c r="G182" s="101" t="s">
        <v>9</v>
      </c>
      <c r="H182" s="58" t="s">
        <v>11</v>
      </c>
      <c r="I182" s="59" t="s">
        <v>12</v>
      </c>
      <c r="J182" s="143"/>
    </row>
    <row r="183" spans="1:10" ht="15">
      <c r="A183" s="43"/>
      <c r="B183" s="126" t="s">
        <v>13</v>
      </c>
      <c r="C183" s="61">
        <v>4823114041518</v>
      </c>
      <c r="D183" s="33" t="s">
        <v>907</v>
      </c>
      <c r="E183" s="61">
        <f ca="1">IFERROR(__xludf.DUMMYFUNCTION("VLOOKUP(SPLIT(D183,"".""),SPLIT(D183,"".""),1)"),52805)</f>
        <v>52805</v>
      </c>
      <c r="F183" s="61" t="s">
        <v>908</v>
      </c>
      <c r="G183" s="63" t="s">
        <v>16</v>
      </c>
      <c r="H183" s="249">
        <v>10.97</v>
      </c>
      <c r="I183" s="249">
        <v>21.95</v>
      </c>
      <c r="J183" s="2"/>
    </row>
    <row r="184" spans="1:10" ht="15">
      <c r="A184" s="43"/>
      <c r="B184" s="126" t="s">
        <v>13</v>
      </c>
      <c r="C184" s="61">
        <v>4823114041525</v>
      </c>
      <c r="D184" s="103" t="s">
        <v>909</v>
      </c>
      <c r="E184" s="61">
        <f ca="1">IFERROR(__xludf.DUMMYFUNCTION("VLOOKUP(SPLIT(D184,"".""),SPLIT(D184,"".""),1)"),60030)</f>
        <v>60030</v>
      </c>
      <c r="F184" s="61" t="s">
        <v>908</v>
      </c>
      <c r="G184" s="63" t="s">
        <v>810</v>
      </c>
      <c r="H184" s="193">
        <v>10.97</v>
      </c>
      <c r="I184" s="193">
        <v>21.95</v>
      </c>
      <c r="J184" s="2"/>
    </row>
    <row r="185" spans="1:10" ht="15">
      <c r="A185" s="43"/>
      <c r="B185" s="126" t="s">
        <v>13</v>
      </c>
      <c r="C185" s="61">
        <v>4823114041532</v>
      </c>
      <c r="D185" s="103" t="s">
        <v>910</v>
      </c>
      <c r="E185" s="61">
        <f ca="1">IFERROR(__xludf.DUMMYFUNCTION("VLOOKUP(SPLIT(D185,"".""),SPLIT(D185,"".""),1)"),60029)</f>
        <v>60029</v>
      </c>
      <c r="F185" s="61" t="s">
        <v>908</v>
      </c>
      <c r="G185" s="63" t="s">
        <v>148</v>
      </c>
      <c r="H185" s="193">
        <v>10.97</v>
      </c>
      <c r="I185" s="193">
        <v>21.95</v>
      </c>
      <c r="J185" s="2"/>
    </row>
    <row r="186" spans="1:10" ht="15">
      <c r="A186" s="43"/>
      <c r="B186" s="126" t="s">
        <v>13</v>
      </c>
      <c r="C186" s="61">
        <v>4823114041549</v>
      </c>
      <c r="D186" s="103" t="s">
        <v>911</v>
      </c>
      <c r="E186" s="61">
        <f ca="1">IFERROR(__xludf.DUMMYFUNCTION("VLOOKUP(SPLIT(D186,"".""),SPLIT(D186,"".""),1)"),60028)</f>
        <v>60028</v>
      </c>
      <c r="F186" s="61" t="s">
        <v>908</v>
      </c>
      <c r="G186" s="63" t="s">
        <v>468</v>
      </c>
      <c r="H186" s="193">
        <v>10.97</v>
      </c>
      <c r="I186" s="193">
        <v>21.95</v>
      </c>
      <c r="J186" s="2"/>
    </row>
    <row r="187" spans="1:10" ht="15">
      <c r="A187" s="43"/>
      <c r="B187" s="126" t="s">
        <v>13</v>
      </c>
      <c r="C187" s="61">
        <v>4823114041556</v>
      </c>
      <c r="D187" s="103" t="s">
        <v>912</v>
      </c>
      <c r="E187" s="61">
        <f ca="1">IFERROR(__xludf.DUMMYFUNCTION("VLOOKUP(SPLIT(D187,"".""),SPLIT(D187,"".""),1)"),60027)</f>
        <v>60027</v>
      </c>
      <c r="F187" s="61" t="s">
        <v>908</v>
      </c>
      <c r="G187" s="63" t="s">
        <v>814</v>
      </c>
      <c r="H187" s="193">
        <v>10.97</v>
      </c>
      <c r="I187" s="193">
        <v>21.95</v>
      </c>
      <c r="J187" s="2"/>
    </row>
    <row r="188" spans="1:10" ht="15">
      <c r="A188" s="43"/>
      <c r="B188" s="126" t="s">
        <v>13</v>
      </c>
      <c r="C188" s="61">
        <v>4823114041563</v>
      </c>
      <c r="D188" s="103" t="s">
        <v>913</v>
      </c>
      <c r="E188" s="61">
        <f ca="1">IFERROR(__xludf.DUMMYFUNCTION("VLOOKUP(SPLIT(D188,"".""),SPLIT(D188,"".""),1)"),60026)</f>
        <v>60026</v>
      </c>
      <c r="F188" s="61" t="s">
        <v>908</v>
      </c>
      <c r="G188" s="63" t="s">
        <v>816</v>
      </c>
      <c r="H188" s="193">
        <v>10.97</v>
      </c>
      <c r="I188" s="193">
        <v>21.95</v>
      </c>
      <c r="J188" s="2"/>
    </row>
    <row r="189" spans="1:10" ht="15">
      <c r="A189" s="43"/>
      <c r="B189" s="126" t="s">
        <v>13</v>
      </c>
      <c r="C189" s="61">
        <v>4823114041570</v>
      </c>
      <c r="D189" s="103" t="s">
        <v>914</v>
      </c>
      <c r="E189" s="61">
        <f ca="1">IFERROR(__xludf.DUMMYFUNCTION("VLOOKUP(SPLIT(D189,"".""),SPLIT(D189,"".""),1)"),60025)</f>
        <v>60025</v>
      </c>
      <c r="F189" s="61" t="s">
        <v>908</v>
      </c>
      <c r="G189" s="63" t="s">
        <v>818</v>
      </c>
      <c r="H189" s="193">
        <v>10.97</v>
      </c>
      <c r="I189" s="193">
        <v>21.95</v>
      </c>
      <c r="J189" s="2"/>
    </row>
    <row r="190" spans="1:10" ht="15">
      <c r="A190" s="43"/>
      <c r="B190" s="126" t="s">
        <v>13</v>
      </c>
      <c r="C190" s="61">
        <v>4823114045158</v>
      </c>
      <c r="D190" s="103" t="s">
        <v>915</v>
      </c>
      <c r="E190" s="61">
        <f ca="1">IFERROR(__xludf.DUMMYFUNCTION("VLOOKUP(SPLIT(D190,"".""),SPLIT(D190,"".""),1)"),72572)</f>
        <v>72572</v>
      </c>
      <c r="F190" s="61" t="s">
        <v>908</v>
      </c>
      <c r="G190" s="63" t="s">
        <v>19</v>
      </c>
      <c r="H190" s="193">
        <v>10.97</v>
      </c>
      <c r="I190" s="193">
        <v>21.95</v>
      </c>
      <c r="J190" s="2"/>
    </row>
    <row r="191" spans="1:10" ht="15">
      <c r="A191" s="43"/>
      <c r="B191" s="126" t="s">
        <v>13</v>
      </c>
      <c r="C191" s="61">
        <v>4823114041198</v>
      </c>
      <c r="D191" s="33" t="s">
        <v>916</v>
      </c>
      <c r="E191" s="61">
        <f ca="1">IFERROR(__xludf.DUMMYFUNCTION("VLOOKUP(SPLIT(D191,"".""),SPLIT(D191,"".""),1)"),52807)</f>
        <v>52807</v>
      </c>
      <c r="F191" s="61" t="s">
        <v>917</v>
      </c>
      <c r="G191" s="63" t="s">
        <v>16</v>
      </c>
      <c r="H191" s="193">
        <v>10.62</v>
      </c>
      <c r="I191" s="193">
        <v>21.23</v>
      </c>
      <c r="J191" s="2"/>
    </row>
    <row r="192" spans="1:10" ht="15">
      <c r="A192" s="43"/>
      <c r="B192" s="126" t="s">
        <v>13</v>
      </c>
      <c r="C192" s="61">
        <v>4823114041204</v>
      </c>
      <c r="D192" s="103" t="s">
        <v>918</v>
      </c>
      <c r="E192" s="61">
        <f ca="1">IFERROR(__xludf.DUMMYFUNCTION("VLOOKUP(SPLIT(D192,"".""),SPLIT(D192,"".""),1)"),60002)</f>
        <v>60002</v>
      </c>
      <c r="F192" s="61" t="s">
        <v>917</v>
      </c>
      <c r="G192" s="63" t="s">
        <v>810</v>
      </c>
      <c r="H192" s="193">
        <v>10.62</v>
      </c>
      <c r="I192" s="193">
        <v>21.23</v>
      </c>
      <c r="J192" s="2"/>
    </row>
    <row r="193" spans="1:10" ht="15">
      <c r="A193" s="43"/>
      <c r="B193" s="126" t="s">
        <v>13</v>
      </c>
      <c r="C193" s="61">
        <v>4823114041211</v>
      </c>
      <c r="D193" s="103" t="s">
        <v>919</v>
      </c>
      <c r="E193" s="61">
        <f ca="1">IFERROR(__xludf.DUMMYFUNCTION("VLOOKUP(SPLIT(D193,"".""),SPLIT(D193,"".""),1)"),60001)</f>
        <v>60001</v>
      </c>
      <c r="F193" s="61" t="s">
        <v>917</v>
      </c>
      <c r="G193" s="63" t="s">
        <v>148</v>
      </c>
      <c r="H193" s="193">
        <v>10.62</v>
      </c>
      <c r="I193" s="193">
        <v>21.23</v>
      </c>
      <c r="J193" s="2"/>
    </row>
    <row r="194" spans="1:10" ht="15">
      <c r="A194" s="43"/>
      <c r="B194" s="126" t="s">
        <v>13</v>
      </c>
      <c r="C194" s="61">
        <v>4823114041228</v>
      </c>
      <c r="D194" s="103" t="s">
        <v>920</v>
      </c>
      <c r="E194" s="61">
        <f ca="1">IFERROR(__xludf.DUMMYFUNCTION("VLOOKUP(SPLIT(D194,"".""),SPLIT(D194,"".""),1)"),60000)</f>
        <v>60000</v>
      </c>
      <c r="F194" s="61" t="s">
        <v>917</v>
      </c>
      <c r="G194" s="63" t="s">
        <v>468</v>
      </c>
      <c r="H194" s="193">
        <v>10.62</v>
      </c>
      <c r="I194" s="193">
        <v>21.23</v>
      </c>
      <c r="J194" s="2"/>
    </row>
    <row r="195" spans="1:10" ht="15">
      <c r="A195" s="43"/>
      <c r="B195" s="126" t="s">
        <v>13</v>
      </c>
      <c r="C195" s="61">
        <v>4823114041235</v>
      </c>
      <c r="D195" s="103" t="s">
        <v>921</v>
      </c>
      <c r="E195" s="61">
        <f ca="1">IFERROR(__xludf.DUMMYFUNCTION("VLOOKUP(SPLIT(D195,"".""),SPLIT(D195,"".""),1)"),59999)</f>
        <v>59999</v>
      </c>
      <c r="F195" s="61" t="s">
        <v>917</v>
      </c>
      <c r="G195" s="63" t="s">
        <v>814</v>
      </c>
      <c r="H195" s="193">
        <v>10.62</v>
      </c>
      <c r="I195" s="193">
        <v>21.23</v>
      </c>
      <c r="J195" s="2"/>
    </row>
    <row r="196" spans="1:10" ht="15">
      <c r="A196" s="43"/>
      <c r="B196" s="126" t="s">
        <v>13</v>
      </c>
      <c r="C196" s="61">
        <v>4823114041242</v>
      </c>
      <c r="D196" s="103" t="s">
        <v>922</v>
      </c>
      <c r="E196" s="61">
        <f ca="1">IFERROR(__xludf.DUMMYFUNCTION("VLOOKUP(SPLIT(D196,"".""),SPLIT(D196,"".""),1)"),59998)</f>
        <v>59998</v>
      </c>
      <c r="F196" s="61" t="s">
        <v>917</v>
      </c>
      <c r="G196" s="63" t="s">
        <v>816</v>
      </c>
      <c r="H196" s="193">
        <v>10.62</v>
      </c>
      <c r="I196" s="193">
        <v>21.23</v>
      </c>
      <c r="J196" s="2"/>
    </row>
    <row r="197" spans="1:10" ht="15">
      <c r="A197" s="43"/>
      <c r="B197" s="126" t="s">
        <v>13</v>
      </c>
      <c r="C197" s="61">
        <v>4823114041259</v>
      </c>
      <c r="D197" s="103" t="s">
        <v>923</v>
      </c>
      <c r="E197" s="61">
        <f ca="1">IFERROR(__xludf.DUMMYFUNCTION("VLOOKUP(SPLIT(D197,"".""),SPLIT(D197,"".""),1)"),59997)</f>
        <v>59997</v>
      </c>
      <c r="F197" s="61" t="s">
        <v>917</v>
      </c>
      <c r="G197" s="63" t="s">
        <v>818</v>
      </c>
      <c r="H197" s="193">
        <v>10.62</v>
      </c>
      <c r="I197" s="193">
        <v>21.23</v>
      </c>
      <c r="J197" s="2"/>
    </row>
    <row r="198" spans="1:10" ht="15">
      <c r="A198" s="43"/>
      <c r="B198" s="126" t="s">
        <v>13</v>
      </c>
      <c r="C198" s="61">
        <v>4823114045172</v>
      </c>
      <c r="D198" s="103" t="s">
        <v>924</v>
      </c>
      <c r="E198" s="61">
        <f ca="1">IFERROR(__xludf.DUMMYFUNCTION("VLOOKUP(SPLIT(D198,"".""),SPLIT(D198,"".""),1)"),72574)</f>
        <v>72574</v>
      </c>
      <c r="F198" s="61" t="s">
        <v>917</v>
      </c>
      <c r="G198" s="63" t="s">
        <v>19</v>
      </c>
      <c r="H198" s="193">
        <v>10.62</v>
      </c>
      <c r="I198" s="193">
        <v>21.23</v>
      </c>
      <c r="J198" s="2"/>
    </row>
    <row r="199" spans="1:10" ht="15">
      <c r="A199" s="43"/>
      <c r="B199" s="126" t="s">
        <v>13</v>
      </c>
      <c r="C199" s="32">
        <v>4823114041839</v>
      </c>
      <c r="D199" s="33" t="s">
        <v>925</v>
      </c>
      <c r="E199" s="61">
        <f ca="1">IFERROR(__xludf.DUMMYFUNCTION("VLOOKUP(SPLIT(D199,"".""),SPLIT(D199,"".""),1)"),52810)</f>
        <v>52810</v>
      </c>
      <c r="F199" s="61" t="s">
        <v>926</v>
      </c>
      <c r="G199" s="63" t="s">
        <v>16</v>
      </c>
      <c r="H199" s="193">
        <v>10.24</v>
      </c>
      <c r="I199" s="193">
        <v>20.49</v>
      </c>
      <c r="J199" s="2"/>
    </row>
    <row r="200" spans="1:10" ht="15">
      <c r="A200" s="43"/>
      <c r="B200" s="126" t="s">
        <v>13</v>
      </c>
      <c r="C200" s="264">
        <v>4823114041846</v>
      </c>
      <c r="D200" s="103" t="s">
        <v>927</v>
      </c>
      <c r="E200" s="61">
        <f ca="1">IFERROR(__xludf.DUMMYFUNCTION("VLOOKUP(SPLIT(D200,"".""),SPLIT(D200,"".""),1)"),59974)</f>
        <v>59974</v>
      </c>
      <c r="F200" s="61" t="s">
        <v>926</v>
      </c>
      <c r="G200" s="63" t="s">
        <v>810</v>
      </c>
      <c r="H200" s="193">
        <v>10.24</v>
      </c>
      <c r="I200" s="193">
        <v>20.49</v>
      </c>
      <c r="J200" s="2"/>
    </row>
    <row r="201" spans="1:10" ht="15">
      <c r="A201" s="43"/>
      <c r="B201" s="126" t="s">
        <v>13</v>
      </c>
      <c r="C201" s="264">
        <v>4823114041853</v>
      </c>
      <c r="D201" s="103" t="s">
        <v>928</v>
      </c>
      <c r="E201" s="61">
        <f ca="1">IFERROR(__xludf.DUMMYFUNCTION("VLOOKUP(SPLIT(D201,"".""),SPLIT(D201,"".""),1)"),59973)</f>
        <v>59973</v>
      </c>
      <c r="F201" s="61" t="s">
        <v>926</v>
      </c>
      <c r="G201" s="63" t="s">
        <v>148</v>
      </c>
      <c r="H201" s="193">
        <v>10.24</v>
      </c>
      <c r="I201" s="193">
        <v>20.49</v>
      </c>
      <c r="J201" s="2"/>
    </row>
    <row r="202" spans="1:10" ht="15">
      <c r="A202" s="43"/>
      <c r="B202" s="126" t="s">
        <v>13</v>
      </c>
      <c r="C202" s="264">
        <v>4823114041860</v>
      </c>
      <c r="D202" s="103" t="s">
        <v>929</v>
      </c>
      <c r="E202" s="61">
        <f ca="1">IFERROR(__xludf.DUMMYFUNCTION("VLOOKUP(SPLIT(D202,"".""),SPLIT(D202,"".""),1)"),59972)</f>
        <v>59972</v>
      </c>
      <c r="F202" s="61" t="s">
        <v>926</v>
      </c>
      <c r="G202" s="63" t="s">
        <v>468</v>
      </c>
      <c r="H202" s="193">
        <v>10.24</v>
      </c>
      <c r="I202" s="193">
        <v>20.49</v>
      </c>
      <c r="J202" s="2"/>
    </row>
    <row r="203" spans="1:10" ht="15">
      <c r="A203" s="43"/>
      <c r="B203" s="126" t="s">
        <v>13</v>
      </c>
      <c r="C203" s="264">
        <v>4823114041877</v>
      </c>
      <c r="D203" s="103" t="s">
        <v>930</v>
      </c>
      <c r="E203" s="61">
        <f ca="1">IFERROR(__xludf.DUMMYFUNCTION("VLOOKUP(SPLIT(D203,"".""),SPLIT(D203,"".""),1)"),59971)</f>
        <v>59971</v>
      </c>
      <c r="F203" s="61" t="s">
        <v>926</v>
      </c>
      <c r="G203" s="63" t="s">
        <v>814</v>
      </c>
      <c r="H203" s="193">
        <v>10.24</v>
      </c>
      <c r="I203" s="193">
        <v>20.49</v>
      </c>
      <c r="J203" s="2"/>
    </row>
    <row r="204" spans="1:10" ht="15">
      <c r="A204" s="43"/>
      <c r="B204" s="126" t="s">
        <v>13</v>
      </c>
      <c r="C204" s="264">
        <v>4823114041884</v>
      </c>
      <c r="D204" s="103" t="s">
        <v>931</v>
      </c>
      <c r="E204" s="61">
        <f ca="1">IFERROR(__xludf.DUMMYFUNCTION("VLOOKUP(SPLIT(D204,"".""),SPLIT(D204,"".""),1)"),59970)</f>
        <v>59970</v>
      </c>
      <c r="F204" s="61" t="s">
        <v>926</v>
      </c>
      <c r="G204" s="63" t="s">
        <v>816</v>
      </c>
      <c r="H204" s="193">
        <v>10.24</v>
      </c>
      <c r="I204" s="193">
        <v>20.49</v>
      </c>
      <c r="J204" s="2"/>
    </row>
    <row r="205" spans="1:10" ht="15">
      <c r="A205" s="43"/>
      <c r="B205" s="126" t="s">
        <v>13</v>
      </c>
      <c r="C205" s="264">
        <v>4823114041891</v>
      </c>
      <c r="D205" s="103" t="s">
        <v>932</v>
      </c>
      <c r="E205" s="61">
        <f ca="1">IFERROR(__xludf.DUMMYFUNCTION("VLOOKUP(SPLIT(D205,"".""),SPLIT(D205,"".""),1)"),59969)</f>
        <v>59969</v>
      </c>
      <c r="F205" s="61" t="s">
        <v>926</v>
      </c>
      <c r="G205" s="63" t="s">
        <v>818</v>
      </c>
      <c r="H205" s="193">
        <v>10.24</v>
      </c>
      <c r="I205" s="193">
        <v>20.49</v>
      </c>
      <c r="J205" s="2"/>
    </row>
    <row r="206" spans="1:10" ht="15">
      <c r="A206" s="43"/>
      <c r="B206" s="126" t="s">
        <v>13</v>
      </c>
      <c r="C206" s="264">
        <v>4823114045196</v>
      </c>
      <c r="D206" s="103" t="s">
        <v>933</v>
      </c>
      <c r="E206" s="69">
        <f ca="1">IFERROR(__xludf.DUMMYFUNCTION("VLOOKUP(SPLIT(D206,"".""),SPLIT(D206,"".""),1)"),72576)</f>
        <v>72576</v>
      </c>
      <c r="F206" s="69" t="s">
        <v>926</v>
      </c>
      <c r="G206" s="70" t="s">
        <v>19</v>
      </c>
      <c r="H206" s="193">
        <v>10.24</v>
      </c>
      <c r="I206" s="193">
        <v>20.49</v>
      </c>
      <c r="J206" s="2"/>
    </row>
    <row r="207" spans="1:10" ht="15">
      <c r="A207" s="43"/>
      <c r="B207" s="137" t="s">
        <v>13</v>
      </c>
      <c r="C207" s="32">
        <v>4823114053788</v>
      </c>
      <c r="D207" s="33" t="s">
        <v>934</v>
      </c>
      <c r="E207" s="87">
        <v>89056</v>
      </c>
      <c r="F207" s="87" t="s">
        <v>935</v>
      </c>
      <c r="G207" s="63" t="s">
        <v>16</v>
      </c>
      <c r="H207" s="36">
        <v>4.71</v>
      </c>
      <c r="I207" s="36">
        <v>9.42</v>
      </c>
      <c r="J207" s="79"/>
    </row>
    <row r="208" spans="1:10" ht="15">
      <c r="A208" s="43"/>
      <c r="B208" s="137" t="s">
        <v>13</v>
      </c>
      <c r="C208" s="32">
        <v>4823114053795</v>
      </c>
      <c r="D208" s="33" t="s">
        <v>936</v>
      </c>
      <c r="E208" s="87">
        <v>89057</v>
      </c>
      <c r="F208" s="87" t="s">
        <v>935</v>
      </c>
      <c r="G208" s="63" t="s">
        <v>810</v>
      </c>
      <c r="H208" s="36">
        <v>4.71</v>
      </c>
      <c r="I208" s="36">
        <v>9.42</v>
      </c>
      <c r="J208" s="79"/>
    </row>
    <row r="209" spans="1:10" ht="15">
      <c r="A209" s="43"/>
      <c r="B209" s="137" t="s">
        <v>13</v>
      </c>
      <c r="C209" s="32">
        <v>4823114053801</v>
      </c>
      <c r="D209" s="33" t="s">
        <v>937</v>
      </c>
      <c r="E209" s="87">
        <v>89058</v>
      </c>
      <c r="F209" s="87" t="s">
        <v>935</v>
      </c>
      <c r="G209" s="63" t="s">
        <v>148</v>
      </c>
      <c r="H209" s="36">
        <v>4.71</v>
      </c>
      <c r="I209" s="36">
        <v>9.42</v>
      </c>
      <c r="J209" s="79"/>
    </row>
    <row r="210" spans="1:10" ht="15">
      <c r="A210" s="43"/>
      <c r="B210" s="137" t="s">
        <v>13</v>
      </c>
      <c r="C210" s="32">
        <v>4823114053818</v>
      </c>
      <c r="D210" s="33" t="s">
        <v>938</v>
      </c>
      <c r="E210" s="87">
        <v>89059</v>
      </c>
      <c r="F210" s="87" t="s">
        <v>935</v>
      </c>
      <c r="G210" s="63" t="s">
        <v>468</v>
      </c>
      <c r="H210" s="36">
        <v>4.71</v>
      </c>
      <c r="I210" s="36">
        <v>9.42</v>
      </c>
      <c r="J210" s="79"/>
    </row>
    <row r="211" spans="1:10" ht="15">
      <c r="A211" s="43"/>
      <c r="B211" s="137" t="s">
        <v>13</v>
      </c>
      <c r="C211" s="32">
        <v>4823114053825</v>
      </c>
      <c r="D211" s="33" t="s">
        <v>939</v>
      </c>
      <c r="E211" s="87">
        <v>89060</v>
      </c>
      <c r="F211" s="87" t="s">
        <v>935</v>
      </c>
      <c r="G211" s="63" t="s">
        <v>814</v>
      </c>
      <c r="H211" s="36">
        <v>4.71</v>
      </c>
      <c r="I211" s="36">
        <v>9.42</v>
      </c>
      <c r="J211" s="79"/>
    </row>
    <row r="212" spans="1:10" ht="15">
      <c r="A212" s="43"/>
      <c r="B212" s="137" t="s">
        <v>13</v>
      </c>
      <c r="C212" s="32">
        <v>4823114053832</v>
      </c>
      <c r="D212" s="33" t="s">
        <v>940</v>
      </c>
      <c r="E212" s="87">
        <v>89061</v>
      </c>
      <c r="F212" s="87" t="s">
        <v>935</v>
      </c>
      <c r="G212" s="63" t="s">
        <v>816</v>
      </c>
      <c r="H212" s="36">
        <v>4.71</v>
      </c>
      <c r="I212" s="36">
        <v>9.42</v>
      </c>
      <c r="J212" s="79"/>
    </row>
    <row r="213" spans="1:10" ht="15">
      <c r="A213" s="43"/>
      <c r="B213" s="137" t="s">
        <v>13</v>
      </c>
      <c r="C213" s="32">
        <v>4823114053849</v>
      </c>
      <c r="D213" s="33" t="s">
        <v>941</v>
      </c>
      <c r="E213" s="87">
        <v>89062</v>
      </c>
      <c r="F213" s="87" t="s">
        <v>935</v>
      </c>
      <c r="G213" s="63" t="s">
        <v>818</v>
      </c>
      <c r="H213" s="36">
        <v>4.71</v>
      </c>
      <c r="I213" s="36">
        <v>9.42</v>
      </c>
      <c r="J213" s="79"/>
    </row>
    <row r="214" spans="1:10" ht="15">
      <c r="A214" s="43"/>
      <c r="B214" s="137" t="s">
        <v>13</v>
      </c>
      <c r="C214" s="32">
        <v>4823114053771</v>
      </c>
      <c r="D214" s="33" t="s">
        <v>942</v>
      </c>
      <c r="E214" s="87">
        <v>89055</v>
      </c>
      <c r="F214" s="87" t="s">
        <v>935</v>
      </c>
      <c r="G214" s="63" t="s">
        <v>19</v>
      </c>
      <c r="H214" s="36">
        <v>4.71</v>
      </c>
      <c r="I214" s="36">
        <v>9.42</v>
      </c>
      <c r="J214" s="79"/>
    </row>
    <row r="215" spans="1:10" ht="15">
      <c r="A215" s="43"/>
      <c r="B215" s="137" t="s">
        <v>13</v>
      </c>
      <c r="C215" s="32">
        <v>4823114053948</v>
      </c>
      <c r="D215" s="33" t="s">
        <v>943</v>
      </c>
      <c r="E215" s="87">
        <v>89072</v>
      </c>
      <c r="F215" s="87" t="s">
        <v>944</v>
      </c>
      <c r="G215" s="63" t="s">
        <v>16</v>
      </c>
      <c r="H215" s="36">
        <v>4.2300000000000004</v>
      </c>
      <c r="I215" s="36">
        <v>8.4700000000000006</v>
      </c>
      <c r="J215" s="79"/>
    </row>
    <row r="216" spans="1:10" ht="15">
      <c r="A216" s="43"/>
      <c r="B216" s="137" t="s">
        <v>13</v>
      </c>
      <c r="C216" s="32">
        <v>4823114053955</v>
      </c>
      <c r="D216" s="33" t="s">
        <v>945</v>
      </c>
      <c r="E216" s="87">
        <v>89073</v>
      </c>
      <c r="F216" s="87" t="s">
        <v>944</v>
      </c>
      <c r="G216" s="63" t="s">
        <v>810</v>
      </c>
      <c r="H216" s="36">
        <v>4.2300000000000004</v>
      </c>
      <c r="I216" s="36">
        <v>8.4700000000000006</v>
      </c>
      <c r="J216" s="79"/>
    </row>
    <row r="217" spans="1:10" ht="15">
      <c r="A217" s="43"/>
      <c r="B217" s="137" t="s">
        <v>13</v>
      </c>
      <c r="C217" s="32">
        <v>4823114053962</v>
      </c>
      <c r="D217" s="33" t="s">
        <v>946</v>
      </c>
      <c r="E217" s="87">
        <v>89074</v>
      </c>
      <c r="F217" s="87" t="s">
        <v>944</v>
      </c>
      <c r="G217" s="63" t="s">
        <v>148</v>
      </c>
      <c r="H217" s="36">
        <v>4.2300000000000004</v>
      </c>
      <c r="I217" s="36">
        <v>8.4700000000000006</v>
      </c>
      <c r="J217" s="79"/>
    </row>
    <row r="218" spans="1:10" ht="15">
      <c r="A218" s="43"/>
      <c r="B218" s="137" t="s">
        <v>13</v>
      </c>
      <c r="C218" s="32">
        <v>4823114053979</v>
      </c>
      <c r="D218" s="33" t="s">
        <v>947</v>
      </c>
      <c r="E218" s="87">
        <v>89075</v>
      </c>
      <c r="F218" s="87" t="s">
        <v>944</v>
      </c>
      <c r="G218" s="63" t="s">
        <v>468</v>
      </c>
      <c r="H218" s="36">
        <v>4.2300000000000004</v>
      </c>
      <c r="I218" s="36">
        <v>8.4700000000000006</v>
      </c>
      <c r="J218" s="79"/>
    </row>
    <row r="219" spans="1:10" ht="15">
      <c r="A219" s="43"/>
      <c r="B219" s="137" t="s">
        <v>13</v>
      </c>
      <c r="C219" s="32">
        <v>4823114053986</v>
      </c>
      <c r="D219" s="33" t="s">
        <v>948</v>
      </c>
      <c r="E219" s="87">
        <v>89076</v>
      </c>
      <c r="F219" s="87" t="s">
        <v>944</v>
      </c>
      <c r="G219" s="63" t="s">
        <v>814</v>
      </c>
      <c r="H219" s="36">
        <v>4.2300000000000004</v>
      </c>
      <c r="I219" s="36">
        <v>8.4700000000000006</v>
      </c>
      <c r="J219" s="79"/>
    </row>
    <row r="220" spans="1:10" ht="15">
      <c r="A220" s="43"/>
      <c r="B220" s="137" t="s">
        <v>13</v>
      </c>
      <c r="C220" s="32">
        <v>4823114053993</v>
      </c>
      <c r="D220" s="33" t="s">
        <v>949</v>
      </c>
      <c r="E220" s="87">
        <v>89077</v>
      </c>
      <c r="F220" s="87" t="s">
        <v>944</v>
      </c>
      <c r="G220" s="63" t="s">
        <v>816</v>
      </c>
      <c r="H220" s="36">
        <v>4.2300000000000004</v>
      </c>
      <c r="I220" s="36">
        <v>8.4700000000000006</v>
      </c>
      <c r="J220" s="79"/>
    </row>
    <row r="221" spans="1:10" ht="15">
      <c r="A221" s="43"/>
      <c r="B221" s="137" t="s">
        <v>13</v>
      </c>
      <c r="C221" s="32">
        <v>4823114054006</v>
      </c>
      <c r="D221" s="33" t="s">
        <v>950</v>
      </c>
      <c r="E221" s="87">
        <v>89078</v>
      </c>
      <c r="F221" s="87" t="s">
        <v>944</v>
      </c>
      <c r="G221" s="63" t="s">
        <v>818</v>
      </c>
      <c r="H221" s="36">
        <v>4.2300000000000004</v>
      </c>
      <c r="I221" s="36">
        <v>8.4700000000000006</v>
      </c>
      <c r="J221" s="79"/>
    </row>
    <row r="222" spans="1:10" ht="15">
      <c r="A222" s="43"/>
      <c r="B222" s="137" t="s">
        <v>13</v>
      </c>
      <c r="C222" s="32">
        <v>4823114053931</v>
      </c>
      <c r="D222" s="33" t="s">
        <v>951</v>
      </c>
      <c r="E222" s="87">
        <v>89071</v>
      </c>
      <c r="F222" s="87" t="s">
        <v>944</v>
      </c>
      <c r="G222" s="63" t="s">
        <v>19</v>
      </c>
      <c r="H222" s="36">
        <v>4.2300000000000004</v>
      </c>
      <c r="I222" s="36">
        <v>8.4700000000000006</v>
      </c>
      <c r="J222" s="79"/>
    </row>
    <row r="223" spans="1:10" ht="15">
      <c r="A223" s="43"/>
      <c r="B223" s="137" t="s">
        <v>13</v>
      </c>
      <c r="C223" s="32">
        <v>4823114054105</v>
      </c>
      <c r="D223" s="33" t="s">
        <v>952</v>
      </c>
      <c r="E223" s="87">
        <v>89088</v>
      </c>
      <c r="F223" s="87" t="s">
        <v>953</v>
      </c>
      <c r="G223" s="63" t="s">
        <v>16</v>
      </c>
      <c r="H223" s="36">
        <v>4.2300000000000004</v>
      </c>
      <c r="I223" s="36">
        <v>8.4700000000000006</v>
      </c>
      <c r="J223" s="79"/>
    </row>
    <row r="224" spans="1:10" ht="15">
      <c r="A224" s="43"/>
      <c r="B224" s="137" t="s">
        <v>13</v>
      </c>
      <c r="C224" s="32">
        <v>4823114054112</v>
      </c>
      <c r="D224" s="33" t="s">
        <v>954</v>
      </c>
      <c r="E224" s="87">
        <v>89089</v>
      </c>
      <c r="F224" s="87" t="s">
        <v>953</v>
      </c>
      <c r="G224" s="63" t="s">
        <v>810</v>
      </c>
      <c r="H224" s="36">
        <v>4.2300000000000004</v>
      </c>
      <c r="I224" s="36">
        <v>8.4700000000000006</v>
      </c>
      <c r="J224" s="79"/>
    </row>
    <row r="225" spans="1:10" ht="15">
      <c r="A225" s="43"/>
      <c r="B225" s="137" t="s">
        <v>13</v>
      </c>
      <c r="C225" s="32">
        <v>4823114054129</v>
      </c>
      <c r="D225" s="33" t="s">
        <v>955</v>
      </c>
      <c r="E225" s="87">
        <v>89090</v>
      </c>
      <c r="F225" s="87" t="s">
        <v>953</v>
      </c>
      <c r="G225" s="63" t="s">
        <v>148</v>
      </c>
      <c r="H225" s="36">
        <v>4.2300000000000004</v>
      </c>
      <c r="I225" s="36">
        <v>8.4700000000000006</v>
      </c>
      <c r="J225" s="79"/>
    </row>
    <row r="226" spans="1:10" ht="15">
      <c r="A226" s="43"/>
      <c r="B226" s="137" t="s">
        <v>13</v>
      </c>
      <c r="C226" s="32">
        <v>4823114054136</v>
      </c>
      <c r="D226" s="33" t="s">
        <v>956</v>
      </c>
      <c r="E226" s="87">
        <v>89091</v>
      </c>
      <c r="F226" s="87" t="s">
        <v>953</v>
      </c>
      <c r="G226" s="63" t="s">
        <v>468</v>
      </c>
      <c r="H226" s="36">
        <v>4.2300000000000004</v>
      </c>
      <c r="I226" s="36">
        <v>8.4700000000000006</v>
      </c>
      <c r="J226" s="79"/>
    </row>
    <row r="227" spans="1:10" ht="15">
      <c r="A227" s="43"/>
      <c r="B227" s="137" t="s">
        <v>13</v>
      </c>
      <c r="C227" s="32">
        <v>4823114054143</v>
      </c>
      <c r="D227" s="33" t="s">
        <v>957</v>
      </c>
      <c r="E227" s="87">
        <v>89092</v>
      </c>
      <c r="F227" s="87" t="s">
        <v>953</v>
      </c>
      <c r="G227" s="63" t="s">
        <v>814</v>
      </c>
      <c r="H227" s="36">
        <v>4.2300000000000004</v>
      </c>
      <c r="I227" s="36">
        <v>8.4700000000000006</v>
      </c>
      <c r="J227" s="79"/>
    </row>
    <row r="228" spans="1:10" ht="15">
      <c r="A228" s="43"/>
      <c r="B228" s="137" t="s">
        <v>13</v>
      </c>
      <c r="C228" s="32">
        <v>4823114054150</v>
      </c>
      <c r="D228" s="33" t="s">
        <v>958</v>
      </c>
      <c r="E228" s="87">
        <v>89093</v>
      </c>
      <c r="F228" s="87" t="s">
        <v>953</v>
      </c>
      <c r="G228" s="63" t="s">
        <v>816</v>
      </c>
      <c r="H228" s="36">
        <v>4.2300000000000004</v>
      </c>
      <c r="I228" s="36">
        <v>8.4700000000000006</v>
      </c>
      <c r="J228" s="79"/>
    </row>
    <row r="229" spans="1:10" ht="15">
      <c r="A229" s="43"/>
      <c r="B229" s="137" t="s">
        <v>13</v>
      </c>
      <c r="C229" s="32">
        <v>4823114054167</v>
      </c>
      <c r="D229" s="33" t="s">
        <v>959</v>
      </c>
      <c r="E229" s="87">
        <v>89094</v>
      </c>
      <c r="F229" s="87" t="s">
        <v>953</v>
      </c>
      <c r="G229" s="70" t="s">
        <v>818</v>
      </c>
      <c r="H229" s="36">
        <v>4.2300000000000004</v>
      </c>
      <c r="I229" s="36">
        <v>8.4700000000000006</v>
      </c>
      <c r="J229" s="79"/>
    </row>
    <row r="230" spans="1:10" ht="15">
      <c r="A230" s="43"/>
      <c r="B230" s="137" t="s">
        <v>13</v>
      </c>
      <c r="C230" s="32">
        <v>4823114054099</v>
      </c>
      <c r="D230" s="33" t="s">
        <v>960</v>
      </c>
      <c r="E230" s="87">
        <v>89087</v>
      </c>
      <c r="F230" s="87" t="s">
        <v>953</v>
      </c>
      <c r="G230" s="88" t="s">
        <v>19</v>
      </c>
      <c r="H230" s="36">
        <v>4.2300000000000004</v>
      </c>
      <c r="I230" s="36">
        <v>8.4700000000000006</v>
      </c>
      <c r="J230" s="79"/>
    </row>
    <row r="231" spans="1:10" ht="15">
      <c r="A231" s="43"/>
      <c r="B231" s="188" t="s">
        <v>13</v>
      </c>
      <c r="C231" s="32">
        <v>4823114071324</v>
      </c>
      <c r="D231" s="33" t="s">
        <v>961</v>
      </c>
      <c r="E231" s="83">
        <v>126188</v>
      </c>
      <c r="F231" s="34" t="s">
        <v>962</v>
      </c>
      <c r="G231" s="35" t="s">
        <v>16</v>
      </c>
      <c r="H231" s="36">
        <v>4.38</v>
      </c>
      <c r="I231" s="36">
        <v>8.76</v>
      </c>
      <c r="J231" s="79"/>
    </row>
    <row r="232" spans="1:10" ht="15">
      <c r="A232" s="43"/>
      <c r="B232" s="188" t="s">
        <v>13</v>
      </c>
      <c r="C232" s="32">
        <v>4823114071317</v>
      </c>
      <c r="D232" s="33" t="s">
        <v>963</v>
      </c>
      <c r="E232" s="83">
        <v>126187</v>
      </c>
      <c r="F232" s="34" t="s">
        <v>962</v>
      </c>
      <c r="G232" s="35" t="s">
        <v>19</v>
      </c>
      <c r="H232" s="36">
        <v>4.38</v>
      </c>
      <c r="I232" s="36">
        <v>8.76</v>
      </c>
      <c r="J232" s="79"/>
    </row>
    <row r="233" spans="1:10" ht="15">
      <c r="A233" s="43"/>
      <c r="B233" s="188" t="s">
        <v>13</v>
      </c>
      <c r="C233" s="32">
        <v>4823114071331</v>
      </c>
      <c r="D233" s="33" t="s">
        <v>964</v>
      </c>
      <c r="E233" s="83">
        <v>126189</v>
      </c>
      <c r="F233" s="34" t="s">
        <v>962</v>
      </c>
      <c r="G233" s="35" t="s">
        <v>814</v>
      </c>
      <c r="H233" s="36">
        <v>4.38</v>
      </c>
      <c r="I233" s="36">
        <v>8.76</v>
      </c>
      <c r="J233" s="79"/>
    </row>
    <row r="234" spans="1:10" ht="15">
      <c r="A234" s="43"/>
      <c r="B234" s="188" t="s">
        <v>13</v>
      </c>
      <c r="C234" s="32">
        <v>4823114071348</v>
      </c>
      <c r="D234" s="33" t="s">
        <v>965</v>
      </c>
      <c r="E234" s="83">
        <v>126190</v>
      </c>
      <c r="F234" s="34" t="s">
        <v>962</v>
      </c>
      <c r="G234" s="35" t="s">
        <v>468</v>
      </c>
      <c r="H234" s="36">
        <v>4.38</v>
      </c>
      <c r="I234" s="36">
        <v>8.76</v>
      </c>
      <c r="J234" s="79"/>
    </row>
    <row r="235" spans="1:10" ht="15">
      <c r="A235" s="43"/>
      <c r="B235" s="188" t="s">
        <v>13</v>
      </c>
      <c r="C235" s="32">
        <v>4823114071355</v>
      </c>
      <c r="D235" s="33" t="s">
        <v>966</v>
      </c>
      <c r="E235" s="83">
        <v>126191</v>
      </c>
      <c r="F235" s="34" t="s">
        <v>962</v>
      </c>
      <c r="G235" s="35" t="s">
        <v>148</v>
      </c>
      <c r="H235" s="36">
        <v>4.38</v>
      </c>
      <c r="I235" s="36">
        <v>8.76</v>
      </c>
      <c r="J235" s="79"/>
    </row>
    <row r="236" spans="1:10" ht="15">
      <c r="A236" s="43"/>
      <c r="B236" s="188" t="s">
        <v>13</v>
      </c>
      <c r="C236" s="32">
        <v>4823114071362</v>
      </c>
      <c r="D236" s="33" t="s">
        <v>967</v>
      </c>
      <c r="E236" s="83">
        <v>126192</v>
      </c>
      <c r="F236" s="34" t="s">
        <v>962</v>
      </c>
      <c r="G236" s="35" t="s">
        <v>810</v>
      </c>
      <c r="H236" s="36">
        <v>4.38</v>
      </c>
      <c r="I236" s="36">
        <v>8.76</v>
      </c>
      <c r="J236" s="79"/>
    </row>
    <row r="237" spans="1:10" ht="15">
      <c r="A237" s="43"/>
      <c r="B237" s="188" t="s">
        <v>13</v>
      </c>
      <c r="C237" s="32">
        <v>4823114071379</v>
      </c>
      <c r="D237" s="33" t="s">
        <v>968</v>
      </c>
      <c r="E237" s="83">
        <v>126193</v>
      </c>
      <c r="F237" s="34" t="s">
        <v>962</v>
      </c>
      <c r="G237" s="35" t="s">
        <v>818</v>
      </c>
      <c r="H237" s="36">
        <v>4.38</v>
      </c>
      <c r="I237" s="36">
        <v>8.76</v>
      </c>
      <c r="J237" s="79"/>
    </row>
    <row r="238" spans="1:10" ht="15">
      <c r="A238" s="43"/>
      <c r="B238" s="188" t="s">
        <v>13</v>
      </c>
      <c r="C238" s="32">
        <v>4823114071386</v>
      </c>
      <c r="D238" s="33" t="s">
        <v>969</v>
      </c>
      <c r="E238" s="83">
        <v>126194</v>
      </c>
      <c r="F238" s="34" t="s">
        <v>962</v>
      </c>
      <c r="G238" s="35" t="s">
        <v>816</v>
      </c>
      <c r="H238" s="36">
        <v>4.38</v>
      </c>
      <c r="I238" s="36">
        <v>8.76</v>
      </c>
      <c r="J238" s="79"/>
    </row>
    <row r="239" spans="1:10" ht="15">
      <c r="A239" s="43"/>
      <c r="B239" s="188" t="s">
        <v>13</v>
      </c>
      <c r="C239" s="32">
        <v>4823114071409</v>
      </c>
      <c r="D239" s="33" t="s">
        <v>970</v>
      </c>
      <c r="E239" s="83">
        <v>126196</v>
      </c>
      <c r="F239" s="34" t="s">
        <v>971</v>
      </c>
      <c r="G239" s="35" t="s">
        <v>16</v>
      </c>
      <c r="H239" s="36">
        <v>3.28</v>
      </c>
      <c r="I239" s="36">
        <v>6.56</v>
      </c>
      <c r="J239" s="79"/>
    </row>
    <row r="240" spans="1:10" ht="15">
      <c r="A240" s="43"/>
      <c r="B240" s="188" t="s">
        <v>13</v>
      </c>
      <c r="C240" s="32">
        <v>4823114071393</v>
      </c>
      <c r="D240" s="33" t="s">
        <v>972</v>
      </c>
      <c r="E240" s="83">
        <v>126195</v>
      </c>
      <c r="F240" s="34" t="s">
        <v>971</v>
      </c>
      <c r="G240" s="35" t="s">
        <v>19</v>
      </c>
      <c r="H240" s="36">
        <v>3.28</v>
      </c>
      <c r="I240" s="36">
        <v>6.56</v>
      </c>
      <c r="J240" s="79"/>
    </row>
    <row r="241" spans="1:10" ht="15">
      <c r="A241" s="43"/>
      <c r="B241" s="188" t="s">
        <v>13</v>
      </c>
      <c r="C241" s="32">
        <v>4823114071416</v>
      </c>
      <c r="D241" s="33" t="s">
        <v>973</v>
      </c>
      <c r="E241" s="83">
        <v>126197</v>
      </c>
      <c r="F241" s="34" t="s">
        <v>971</v>
      </c>
      <c r="G241" s="35" t="s">
        <v>814</v>
      </c>
      <c r="H241" s="36">
        <v>3.28</v>
      </c>
      <c r="I241" s="36">
        <v>6.56</v>
      </c>
      <c r="J241" s="79"/>
    </row>
    <row r="242" spans="1:10" ht="15">
      <c r="A242" s="43"/>
      <c r="B242" s="188" t="s">
        <v>13</v>
      </c>
      <c r="C242" s="32">
        <v>4823114071423</v>
      </c>
      <c r="D242" s="33" t="s">
        <v>974</v>
      </c>
      <c r="E242" s="83">
        <v>126198</v>
      </c>
      <c r="F242" s="34" t="s">
        <v>971</v>
      </c>
      <c r="G242" s="35" t="s">
        <v>468</v>
      </c>
      <c r="H242" s="36">
        <v>3.28</v>
      </c>
      <c r="I242" s="36">
        <v>6.56</v>
      </c>
      <c r="J242" s="79"/>
    </row>
    <row r="243" spans="1:10" ht="15">
      <c r="A243" s="43"/>
      <c r="B243" s="188" t="s">
        <v>13</v>
      </c>
      <c r="C243" s="32">
        <v>4823114071430</v>
      </c>
      <c r="D243" s="33" t="s">
        <v>975</v>
      </c>
      <c r="E243" s="83">
        <v>126199</v>
      </c>
      <c r="F243" s="34" t="s">
        <v>971</v>
      </c>
      <c r="G243" s="35" t="s">
        <v>148</v>
      </c>
      <c r="H243" s="36">
        <v>3.28</v>
      </c>
      <c r="I243" s="36">
        <v>6.56</v>
      </c>
      <c r="J243" s="79"/>
    </row>
    <row r="244" spans="1:10" ht="15">
      <c r="A244" s="43"/>
      <c r="B244" s="188" t="s">
        <v>13</v>
      </c>
      <c r="C244" s="32">
        <v>4823114071447</v>
      </c>
      <c r="D244" s="33" t="s">
        <v>976</v>
      </c>
      <c r="E244" s="83">
        <v>126200</v>
      </c>
      <c r="F244" s="34" t="s">
        <v>971</v>
      </c>
      <c r="G244" s="35" t="s">
        <v>810</v>
      </c>
      <c r="H244" s="36">
        <v>3.28</v>
      </c>
      <c r="I244" s="36">
        <v>6.56</v>
      </c>
      <c r="J244" s="79"/>
    </row>
    <row r="245" spans="1:10" ht="15">
      <c r="A245" s="43"/>
      <c r="B245" s="188" t="s">
        <v>13</v>
      </c>
      <c r="C245" s="32">
        <v>4823114071454</v>
      </c>
      <c r="D245" s="33" t="s">
        <v>977</v>
      </c>
      <c r="E245" s="83">
        <v>126201</v>
      </c>
      <c r="F245" s="34" t="s">
        <v>971</v>
      </c>
      <c r="G245" s="35" t="s">
        <v>818</v>
      </c>
      <c r="H245" s="36">
        <v>3.28</v>
      </c>
      <c r="I245" s="36">
        <v>6.56</v>
      </c>
      <c r="J245" s="79"/>
    </row>
    <row r="246" spans="1:10" ht="15">
      <c r="A246" s="43"/>
      <c r="B246" s="188" t="s">
        <v>13</v>
      </c>
      <c r="C246" s="32">
        <v>4823114071461</v>
      </c>
      <c r="D246" s="33" t="s">
        <v>978</v>
      </c>
      <c r="E246" s="83">
        <v>126202</v>
      </c>
      <c r="F246" s="34" t="s">
        <v>971</v>
      </c>
      <c r="G246" s="35" t="s">
        <v>816</v>
      </c>
      <c r="H246" s="36">
        <v>3.28</v>
      </c>
      <c r="I246" s="36">
        <v>6.56</v>
      </c>
      <c r="J246" s="79"/>
    </row>
    <row r="247" spans="1:10" ht="15">
      <c r="A247" s="43"/>
      <c r="B247" s="188" t="s">
        <v>13</v>
      </c>
      <c r="C247" s="32">
        <v>4823114071485</v>
      </c>
      <c r="D247" s="33" t="s">
        <v>979</v>
      </c>
      <c r="E247" s="83">
        <v>126204</v>
      </c>
      <c r="F247" s="34" t="s">
        <v>980</v>
      </c>
      <c r="G247" s="35" t="s">
        <v>16</v>
      </c>
      <c r="H247" s="36">
        <v>3.28</v>
      </c>
      <c r="I247" s="36">
        <v>6.56</v>
      </c>
      <c r="J247" s="79"/>
    </row>
    <row r="248" spans="1:10" ht="15">
      <c r="A248" s="43"/>
      <c r="B248" s="188" t="s">
        <v>13</v>
      </c>
      <c r="C248" s="32">
        <v>4823114071478</v>
      </c>
      <c r="D248" s="33" t="s">
        <v>981</v>
      </c>
      <c r="E248" s="83">
        <v>126203</v>
      </c>
      <c r="F248" s="34" t="s">
        <v>980</v>
      </c>
      <c r="G248" s="35" t="s">
        <v>19</v>
      </c>
      <c r="H248" s="36">
        <v>3.28</v>
      </c>
      <c r="I248" s="36">
        <v>6.56</v>
      </c>
      <c r="J248" s="79"/>
    </row>
    <row r="249" spans="1:10" ht="15">
      <c r="A249" s="43"/>
      <c r="B249" s="188" t="s">
        <v>13</v>
      </c>
      <c r="C249" s="32">
        <v>4823114071492</v>
      </c>
      <c r="D249" s="33" t="s">
        <v>982</v>
      </c>
      <c r="E249" s="83">
        <v>126205</v>
      </c>
      <c r="F249" s="34" t="s">
        <v>980</v>
      </c>
      <c r="G249" s="35" t="s">
        <v>814</v>
      </c>
      <c r="H249" s="36">
        <v>3.28</v>
      </c>
      <c r="I249" s="36">
        <v>6.56</v>
      </c>
      <c r="J249" s="79"/>
    </row>
    <row r="250" spans="1:10" ht="15">
      <c r="A250" s="43"/>
      <c r="B250" s="188" t="s">
        <v>13</v>
      </c>
      <c r="C250" s="32">
        <v>4823114071508</v>
      </c>
      <c r="D250" s="33" t="s">
        <v>983</v>
      </c>
      <c r="E250" s="83">
        <v>126206</v>
      </c>
      <c r="F250" s="34" t="s">
        <v>980</v>
      </c>
      <c r="G250" s="35" t="s">
        <v>468</v>
      </c>
      <c r="H250" s="36">
        <v>3.28</v>
      </c>
      <c r="I250" s="36">
        <v>6.56</v>
      </c>
      <c r="J250" s="79"/>
    </row>
    <row r="251" spans="1:10" ht="15">
      <c r="A251" s="43"/>
      <c r="B251" s="188" t="s">
        <v>13</v>
      </c>
      <c r="C251" s="32">
        <v>4823114071515</v>
      </c>
      <c r="D251" s="33" t="s">
        <v>984</v>
      </c>
      <c r="E251" s="83">
        <v>126207</v>
      </c>
      <c r="F251" s="34" t="s">
        <v>980</v>
      </c>
      <c r="G251" s="35" t="s">
        <v>148</v>
      </c>
      <c r="H251" s="36">
        <v>3.28</v>
      </c>
      <c r="I251" s="36">
        <v>6.56</v>
      </c>
      <c r="J251" s="79"/>
    </row>
    <row r="252" spans="1:10" ht="15">
      <c r="A252" s="43"/>
      <c r="B252" s="188" t="s">
        <v>13</v>
      </c>
      <c r="C252" s="32">
        <v>4823114071522</v>
      </c>
      <c r="D252" s="33" t="s">
        <v>985</v>
      </c>
      <c r="E252" s="83">
        <v>126208</v>
      </c>
      <c r="F252" s="34" t="s">
        <v>980</v>
      </c>
      <c r="G252" s="35" t="s">
        <v>810</v>
      </c>
      <c r="H252" s="36">
        <v>3.28</v>
      </c>
      <c r="I252" s="36">
        <v>6.56</v>
      </c>
      <c r="J252" s="79"/>
    </row>
    <row r="253" spans="1:10" ht="15">
      <c r="A253" s="43"/>
      <c r="B253" s="188" t="s">
        <v>13</v>
      </c>
      <c r="C253" s="32">
        <v>4823114071539</v>
      </c>
      <c r="D253" s="33" t="s">
        <v>986</v>
      </c>
      <c r="E253" s="83">
        <v>126209</v>
      </c>
      <c r="F253" s="34" t="s">
        <v>980</v>
      </c>
      <c r="G253" s="35" t="s">
        <v>818</v>
      </c>
      <c r="H253" s="36">
        <v>3.28</v>
      </c>
      <c r="I253" s="36">
        <v>6.56</v>
      </c>
      <c r="J253" s="79"/>
    </row>
    <row r="254" spans="1:10" ht="15">
      <c r="A254" s="43"/>
      <c r="B254" s="188" t="s">
        <v>13</v>
      </c>
      <c r="C254" s="32">
        <v>4823114071546</v>
      </c>
      <c r="D254" s="33" t="s">
        <v>987</v>
      </c>
      <c r="E254" s="83">
        <v>126210</v>
      </c>
      <c r="F254" s="34" t="s">
        <v>980</v>
      </c>
      <c r="G254" s="35" t="s">
        <v>816</v>
      </c>
      <c r="H254" s="36">
        <v>3.28</v>
      </c>
      <c r="I254" s="36">
        <v>6.56</v>
      </c>
      <c r="J254" s="79"/>
    </row>
    <row r="255" spans="1:10" ht="15">
      <c r="A255" s="43"/>
      <c r="B255" s="188" t="s">
        <v>13</v>
      </c>
      <c r="C255" s="32">
        <v>4823114071560</v>
      </c>
      <c r="D255" s="33" t="s">
        <v>988</v>
      </c>
      <c r="E255" s="83">
        <v>126212</v>
      </c>
      <c r="F255" s="34" t="s">
        <v>989</v>
      </c>
      <c r="G255" s="35" t="s">
        <v>16</v>
      </c>
      <c r="H255" s="36">
        <v>3.32</v>
      </c>
      <c r="I255" s="36">
        <v>6.64</v>
      </c>
      <c r="J255" s="79"/>
    </row>
    <row r="256" spans="1:10" ht="15">
      <c r="A256" s="43"/>
      <c r="B256" s="188" t="s">
        <v>13</v>
      </c>
      <c r="C256" s="32">
        <v>4823114071553</v>
      </c>
      <c r="D256" s="33" t="s">
        <v>990</v>
      </c>
      <c r="E256" s="83">
        <v>126211</v>
      </c>
      <c r="F256" s="34" t="s">
        <v>989</v>
      </c>
      <c r="G256" s="35" t="s">
        <v>19</v>
      </c>
      <c r="H256" s="36">
        <v>3.32</v>
      </c>
      <c r="I256" s="36">
        <v>6.64</v>
      </c>
      <c r="J256" s="79"/>
    </row>
    <row r="257" spans="1:10" ht="15">
      <c r="A257" s="43"/>
      <c r="B257" s="188" t="s">
        <v>13</v>
      </c>
      <c r="C257" s="32">
        <v>4823114071577</v>
      </c>
      <c r="D257" s="33" t="s">
        <v>991</v>
      </c>
      <c r="E257" s="83">
        <v>126213</v>
      </c>
      <c r="F257" s="34" t="s">
        <v>989</v>
      </c>
      <c r="G257" s="35" t="s">
        <v>814</v>
      </c>
      <c r="H257" s="36">
        <v>3.32</v>
      </c>
      <c r="I257" s="36">
        <v>6.64</v>
      </c>
      <c r="J257" s="79"/>
    </row>
    <row r="258" spans="1:10" ht="15">
      <c r="A258" s="43"/>
      <c r="B258" s="188" t="s">
        <v>13</v>
      </c>
      <c r="C258" s="32">
        <v>4823114071584</v>
      </c>
      <c r="D258" s="33" t="s">
        <v>992</v>
      </c>
      <c r="E258" s="83">
        <v>126214</v>
      </c>
      <c r="F258" s="34" t="s">
        <v>989</v>
      </c>
      <c r="G258" s="35" t="s">
        <v>468</v>
      </c>
      <c r="H258" s="36">
        <v>3.32</v>
      </c>
      <c r="I258" s="36">
        <v>6.64</v>
      </c>
      <c r="J258" s="79"/>
    </row>
    <row r="259" spans="1:10" ht="15">
      <c r="A259" s="43"/>
      <c r="B259" s="188" t="s">
        <v>13</v>
      </c>
      <c r="C259" s="32">
        <v>4823114071591</v>
      </c>
      <c r="D259" s="33" t="s">
        <v>993</v>
      </c>
      <c r="E259" s="83">
        <v>126215</v>
      </c>
      <c r="F259" s="34" t="s">
        <v>989</v>
      </c>
      <c r="G259" s="35" t="s">
        <v>148</v>
      </c>
      <c r="H259" s="36">
        <v>3.32</v>
      </c>
      <c r="I259" s="36">
        <v>6.64</v>
      </c>
      <c r="J259" s="79"/>
    </row>
    <row r="260" spans="1:10" ht="15">
      <c r="A260" s="43"/>
      <c r="B260" s="188" t="s">
        <v>13</v>
      </c>
      <c r="C260" s="32">
        <v>4823114071607</v>
      </c>
      <c r="D260" s="33" t="s">
        <v>994</v>
      </c>
      <c r="E260" s="83">
        <v>126216</v>
      </c>
      <c r="F260" s="34" t="s">
        <v>989</v>
      </c>
      <c r="G260" s="35" t="s">
        <v>810</v>
      </c>
      <c r="H260" s="36">
        <v>3.32</v>
      </c>
      <c r="I260" s="36">
        <v>6.64</v>
      </c>
      <c r="J260" s="79"/>
    </row>
    <row r="261" spans="1:10" ht="15">
      <c r="A261" s="43"/>
      <c r="B261" s="188" t="s">
        <v>13</v>
      </c>
      <c r="C261" s="32">
        <v>4823114071614</v>
      </c>
      <c r="D261" s="33" t="s">
        <v>995</v>
      </c>
      <c r="E261" s="83">
        <v>126217</v>
      </c>
      <c r="F261" s="34" t="s">
        <v>989</v>
      </c>
      <c r="G261" s="35" t="s">
        <v>818</v>
      </c>
      <c r="H261" s="36">
        <v>3.32</v>
      </c>
      <c r="I261" s="36">
        <v>6.64</v>
      </c>
      <c r="J261" s="79"/>
    </row>
    <row r="262" spans="1:10" ht="15">
      <c r="A262" s="43"/>
      <c r="B262" s="188" t="s">
        <v>13</v>
      </c>
      <c r="C262" s="32">
        <v>4823114071621</v>
      </c>
      <c r="D262" s="33" t="s">
        <v>996</v>
      </c>
      <c r="E262" s="83">
        <v>126218</v>
      </c>
      <c r="F262" s="34" t="s">
        <v>989</v>
      </c>
      <c r="G262" s="35" t="s">
        <v>816</v>
      </c>
      <c r="H262" s="36">
        <v>3.32</v>
      </c>
      <c r="I262" s="36">
        <v>6.64</v>
      </c>
      <c r="J262" s="79"/>
    </row>
    <row r="263" spans="1:10" ht="15">
      <c r="A263" s="43"/>
      <c r="B263" s="188" t="s">
        <v>13</v>
      </c>
      <c r="C263" s="32">
        <v>4823114071645</v>
      </c>
      <c r="D263" s="33" t="s">
        <v>997</v>
      </c>
      <c r="E263" s="83">
        <v>126220</v>
      </c>
      <c r="F263" s="34" t="s">
        <v>998</v>
      </c>
      <c r="G263" s="35" t="s">
        <v>16</v>
      </c>
      <c r="H263" s="36">
        <v>3.32</v>
      </c>
      <c r="I263" s="36">
        <v>6.64</v>
      </c>
      <c r="J263" s="79"/>
    </row>
    <row r="264" spans="1:10" ht="15">
      <c r="A264" s="43"/>
      <c r="B264" s="188" t="s">
        <v>13</v>
      </c>
      <c r="C264" s="32">
        <v>4823114071638</v>
      </c>
      <c r="D264" s="33" t="s">
        <v>999</v>
      </c>
      <c r="E264" s="83">
        <v>126219</v>
      </c>
      <c r="F264" s="34" t="s">
        <v>998</v>
      </c>
      <c r="G264" s="35" t="s">
        <v>19</v>
      </c>
      <c r="H264" s="36">
        <v>3.32</v>
      </c>
      <c r="I264" s="36">
        <v>6.64</v>
      </c>
      <c r="J264" s="79"/>
    </row>
    <row r="265" spans="1:10" ht="15">
      <c r="A265" s="43"/>
      <c r="B265" s="188" t="s">
        <v>13</v>
      </c>
      <c r="C265" s="32">
        <v>4823114071652</v>
      </c>
      <c r="D265" s="33" t="s">
        <v>1000</v>
      </c>
      <c r="E265" s="83">
        <v>126221</v>
      </c>
      <c r="F265" s="34" t="s">
        <v>998</v>
      </c>
      <c r="G265" s="35" t="s">
        <v>814</v>
      </c>
      <c r="H265" s="36">
        <v>3.32</v>
      </c>
      <c r="I265" s="36">
        <v>6.64</v>
      </c>
      <c r="J265" s="79"/>
    </row>
    <row r="266" spans="1:10" ht="15">
      <c r="A266" s="43"/>
      <c r="B266" s="188" t="s">
        <v>13</v>
      </c>
      <c r="C266" s="32">
        <v>4823114071669</v>
      </c>
      <c r="D266" s="33" t="s">
        <v>1001</v>
      </c>
      <c r="E266" s="83">
        <v>126222</v>
      </c>
      <c r="F266" s="34" t="s">
        <v>998</v>
      </c>
      <c r="G266" s="35" t="s">
        <v>468</v>
      </c>
      <c r="H266" s="36">
        <v>3.32</v>
      </c>
      <c r="I266" s="36">
        <v>6.64</v>
      </c>
      <c r="J266" s="79"/>
    </row>
    <row r="267" spans="1:10" ht="15">
      <c r="A267" s="43"/>
      <c r="B267" s="188" t="s">
        <v>13</v>
      </c>
      <c r="C267" s="32">
        <v>4823114071676</v>
      </c>
      <c r="D267" s="33" t="s">
        <v>1002</v>
      </c>
      <c r="E267" s="83">
        <v>126223</v>
      </c>
      <c r="F267" s="34" t="s">
        <v>998</v>
      </c>
      <c r="G267" s="35" t="s">
        <v>148</v>
      </c>
      <c r="H267" s="36">
        <v>3.32</v>
      </c>
      <c r="I267" s="36">
        <v>6.64</v>
      </c>
      <c r="J267" s="79"/>
    </row>
    <row r="268" spans="1:10" ht="15">
      <c r="A268" s="43"/>
      <c r="B268" s="188" t="s">
        <v>13</v>
      </c>
      <c r="C268" s="32">
        <v>4823114071683</v>
      </c>
      <c r="D268" s="33" t="s">
        <v>1003</v>
      </c>
      <c r="E268" s="83">
        <v>126224</v>
      </c>
      <c r="F268" s="34" t="s">
        <v>998</v>
      </c>
      <c r="G268" s="35" t="s">
        <v>810</v>
      </c>
      <c r="H268" s="36">
        <v>3.32</v>
      </c>
      <c r="I268" s="36">
        <v>6.64</v>
      </c>
      <c r="J268" s="79"/>
    </row>
    <row r="269" spans="1:10" ht="15">
      <c r="A269" s="43"/>
      <c r="B269" s="188" t="s">
        <v>13</v>
      </c>
      <c r="C269" s="32">
        <v>4823114071690</v>
      </c>
      <c r="D269" s="33" t="s">
        <v>1004</v>
      </c>
      <c r="E269" s="83">
        <v>126225</v>
      </c>
      <c r="F269" s="34" t="s">
        <v>998</v>
      </c>
      <c r="G269" s="35" t="s">
        <v>818</v>
      </c>
      <c r="H269" s="36">
        <v>3.32</v>
      </c>
      <c r="I269" s="36">
        <v>6.64</v>
      </c>
      <c r="J269" s="79"/>
    </row>
    <row r="270" spans="1:10" ht="15">
      <c r="A270" s="43"/>
      <c r="B270" s="188" t="s">
        <v>13</v>
      </c>
      <c r="C270" s="32">
        <v>4823114071706</v>
      </c>
      <c r="D270" s="33" t="s">
        <v>1005</v>
      </c>
      <c r="E270" s="83">
        <v>126226</v>
      </c>
      <c r="F270" s="34" t="s">
        <v>998</v>
      </c>
      <c r="G270" s="35" t="s">
        <v>816</v>
      </c>
      <c r="H270" s="36">
        <v>3.32</v>
      </c>
      <c r="I270" s="36">
        <v>6.64</v>
      </c>
      <c r="J270" s="79"/>
    </row>
    <row r="271" spans="1:10" ht="15">
      <c r="A271" s="2"/>
      <c r="B271" s="74"/>
      <c r="C271" s="265"/>
      <c r="D271" s="266"/>
      <c r="E271" s="75"/>
      <c r="F271" s="75"/>
      <c r="G271" s="76"/>
      <c r="H271" s="76"/>
      <c r="I271" s="76"/>
      <c r="J271" s="2"/>
    </row>
    <row r="272" spans="1:10" ht="15">
      <c r="A272" s="2"/>
      <c r="B272" s="267" t="s">
        <v>1006</v>
      </c>
      <c r="C272" s="9"/>
      <c r="D272" s="9"/>
      <c r="E272" s="9"/>
      <c r="F272" s="9"/>
      <c r="G272" s="10"/>
      <c r="H272" s="10"/>
      <c r="I272" s="10"/>
      <c r="J272" s="2"/>
    </row>
    <row r="273" spans="1:10" ht="15">
      <c r="A273" s="2"/>
      <c r="B273" s="2"/>
      <c r="C273" s="9"/>
      <c r="D273" s="9"/>
      <c r="E273" s="9"/>
      <c r="F273" s="9"/>
      <c r="G273" s="10"/>
      <c r="H273" s="10"/>
      <c r="I273" s="10"/>
      <c r="J273" s="2"/>
    </row>
    <row r="274" spans="1:10" ht="15">
      <c r="A274" s="2"/>
      <c r="B274" s="51" t="s">
        <v>782</v>
      </c>
      <c r="C274" s="9"/>
      <c r="D274" s="9"/>
      <c r="E274" s="9"/>
      <c r="F274" s="9"/>
      <c r="G274" s="10"/>
      <c r="H274" s="10"/>
      <c r="I274" s="97"/>
      <c r="J274" s="2"/>
    </row>
    <row r="275" spans="1:10" ht="15">
      <c r="A275" s="2"/>
      <c r="B275" s="335" t="s">
        <v>783</v>
      </c>
      <c r="C275" s="297"/>
      <c r="D275" s="297"/>
      <c r="E275" s="297"/>
      <c r="F275" s="297"/>
      <c r="G275" s="297"/>
      <c r="H275" s="298"/>
      <c r="I275" s="97"/>
      <c r="J275" s="2"/>
    </row>
    <row r="276" spans="1:10" ht="15">
      <c r="A276" s="2"/>
      <c r="B276" s="299"/>
      <c r="C276" s="300"/>
      <c r="D276" s="300"/>
      <c r="E276" s="300"/>
      <c r="F276" s="300"/>
      <c r="G276" s="300"/>
      <c r="H276" s="301"/>
      <c r="I276" s="97"/>
      <c r="J276" s="2"/>
    </row>
    <row r="277" spans="1:10" ht="15">
      <c r="A277" s="2"/>
      <c r="B277" s="2"/>
      <c r="C277" s="96"/>
      <c r="D277" s="96"/>
      <c r="E277" s="9"/>
      <c r="F277" s="9"/>
      <c r="G277" s="10"/>
      <c r="H277" s="10"/>
      <c r="I277" s="97"/>
      <c r="J277" s="2"/>
    </row>
    <row r="278" spans="1:10" ht="30">
      <c r="A278" s="2"/>
      <c r="B278" s="16" t="s">
        <v>4</v>
      </c>
      <c r="C278" s="55" t="s">
        <v>5</v>
      </c>
      <c r="D278" s="99" t="s">
        <v>6</v>
      </c>
      <c r="E278" s="100" t="s">
        <v>7</v>
      </c>
      <c r="F278" s="100" t="s">
        <v>8</v>
      </c>
      <c r="G278" s="101" t="s">
        <v>9</v>
      </c>
      <c r="H278" s="58" t="s">
        <v>11</v>
      </c>
      <c r="I278" s="59" t="s">
        <v>12</v>
      </c>
      <c r="J278" s="2"/>
    </row>
    <row r="279" spans="1:10" ht="15">
      <c r="A279" s="2"/>
      <c r="B279" s="125" t="s">
        <v>13</v>
      </c>
      <c r="C279" s="264">
        <v>4823114050091</v>
      </c>
      <c r="D279" s="85" t="s">
        <v>1007</v>
      </c>
      <c r="E279" s="85">
        <v>83427</v>
      </c>
      <c r="F279" s="87" t="s">
        <v>1008</v>
      </c>
      <c r="G279" s="268" t="s">
        <v>25</v>
      </c>
      <c r="H279" s="201">
        <v>46.72</v>
      </c>
      <c r="I279" s="202">
        <v>93.44</v>
      </c>
      <c r="J279" s="2"/>
    </row>
    <row r="280" spans="1:10" ht="15">
      <c r="A280" s="2"/>
      <c r="B280" s="126" t="s">
        <v>13</v>
      </c>
      <c r="C280" s="85">
        <v>4823114050107</v>
      </c>
      <c r="D280" s="85" t="s">
        <v>1009</v>
      </c>
      <c r="E280" s="85">
        <v>83428</v>
      </c>
      <c r="F280" s="87" t="s">
        <v>1010</v>
      </c>
      <c r="G280" s="268" t="s">
        <v>25</v>
      </c>
      <c r="H280" s="203">
        <v>53.76</v>
      </c>
      <c r="I280" s="204">
        <v>107.53</v>
      </c>
      <c r="J280" s="2"/>
    </row>
    <row r="281" spans="1:10" ht="15">
      <c r="A281" s="2"/>
      <c r="B281" s="126" t="s">
        <v>13</v>
      </c>
      <c r="C281" s="85">
        <v>4823114050114</v>
      </c>
      <c r="D281" s="85" t="s">
        <v>1011</v>
      </c>
      <c r="E281" s="85">
        <v>83429</v>
      </c>
      <c r="F281" s="87" t="s">
        <v>1012</v>
      </c>
      <c r="G281" s="268" t="s">
        <v>25</v>
      </c>
      <c r="H281" s="203">
        <v>49.96</v>
      </c>
      <c r="I281" s="204">
        <v>99.91</v>
      </c>
      <c r="J281" s="79"/>
    </row>
    <row r="282" spans="1:10" ht="15">
      <c r="A282" s="2"/>
      <c r="B282" s="247" t="s">
        <v>13</v>
      </c>
      <c r="C282" s="85">
        <v>4823114053665</v>
      </c>
      <c r="D282" s="269" t="s">
        <v>1013</v>
      </c>
      <c r="E282" s="85">
        <v>87945</v>
      </c>
      <c r="F282" s="87" t="s">
        <v>1014</v>
      </c>
      <c r="G282" s="268" t="s">
        <v>25</v>
      </c>
      <c r="H282" s="71">
        <v>54.32</v>
      </c>
      <c r="I282" s="72">
        <v>108.63</v>
      </c>
      <c r="J282" s="79"/>
    </row>
    <row r="283" spans="1:10" ht="15">
      <c r="A283" s="13"/>
      <c r="B283" s="137" t="s">
        <v>13</v>
      </c>
      <c r="C283" s="85">
        <v>4823114053641</v>
      </c>
      <c r="D283" s="270" t="s">
        <v>1015</v>
      </c>
      <c r="E283" s="85">
        <v>87796</v>
      </c>
      <c r="F283" s="87" t="s">
        <v>1016</v>
      </c>
      <c r="G283" s="271" t="s">
        <v>25</v>
      </c>
      <c r="H283" s="27">
        <v>55.13</v>
      </c>
      <c r="I283" s="64">
        <v>110.26</v>
      </c>
      <c r="J283" s="143"/>
    </row>
    <row r="284" spans="1:10" ht="15">
      <c r="A284" s="22"/>
      <c r="B284" s="137" t="s">
        <v>13</v>
      </c>
      <c r="C284" s="85">
        <v>4823114060960</v>
      </c>
      <c r="D284" s="269" t="s">
        <v>1017</v>
      </c>
      <c r="E284" s="85">
        <v>91249</v>
      </c>
      <c r="F284" s="87" t="s">
        <v>1018</v>
      </c>
      <c r="G284" s="88"/>
      <c r="H284" s="249">
        <v>41.01</v>
      </c>
      <c r="I284" s="250">
        <v>82.02</v>
      </c>
      <c r="J284" s="143"/>
    </row>
    <row r="285" spans="1:10" ht="15">
      <c r="A285" s="43"/>
      <c r="B285" s="74"/>
      <c r="C285" s="131"/>
      <c r="D285" s="131"/>
      <c r="E285" s="75"/>
      <c r="F285" s="75"/>
      <c r="G285" s="76"/>
      <c r="H285" s="76"/>
      <c r="I285" s="127"/>
      <c r="J285" s="79"/>
    </row>
    <row r="286" spans="1:10" ht="15">
      <c r="A286" s="43"/>
      <c r="B286" s="51" t="s">
        <v>796</v>
      </c>
      <c r="C286" s="131"/>
      <c r="D286" s="131"/>
      <c r="E286" s="75"/>
      <c r="F286" s="75"/>
      <c r="G286" s="76"/>
      <c r="H286" s="76"/>
      <c r="I286" s="127"/>
      <c r="J286" s="79"/>
    </row>
    <row r="287" spans="1:10" ht="15">
      <c r="A287" s="2"/>
      <c r="B287" s="2"/>
      <c r="C287" s="131"/>
      <c r="D287" s="131"/>
      <c r="E287" s="75"/>
      <c r="F287" s="75"/>
      <c r="G287" s="76"/>
      <c r="H287" s="76"/>
      <c r="I287" s="127"/>
      <c r="J287" s="2"/>
    </row>
    <row r="288" spans="1:10" ht="15">
      <c r="A288" s="2"/>
      <c r="B288" s="251" t="s">
        <v>797</v>
      </c>
      <c r="C288" s="131"/>
      <c r="D288" s="131"/>
      <c r="E288" s="75"/>
      <c r="F288" s="75"/>
      <c r="G288" s="76"/>
      <c r="H288" s="76"/>
      <c r="I288" s="127"/>
      <c r="J288" s="2"/>
    </row>
    <row r="289" spans="1:10" ht="15">
      <c r="A289" s="2"/>
      <c r="C289" s="9"/>
      <c r="D289" s="9"/>
      <c r="E289" s="9"/>
      <c r="F289" s="9"/>
      <c r="G289" s="10"/>
      <c r="H289" s="10"/>
      <c r="I289" s="10"/>
      <c r="J289" s="2"/>
    </row>
    <row r="290" spans="1:10" ht="15">
      <c r="A290" s="2"/>
      <c r="C290" s="9"/>
      <c r="D290" s="9"/>
      <c r="E290" s="9"/>
      <c r="F290" s="9"/>
      <c r="G290" s="10"/>
      <c r="H290" s="10"/>
      <c r="I290" s="10"/>
      <c r="J290" s="79"/>
    </row>
    <row r="291" spans="1:10" ht="15">
      <c r="A291" s="2"/>
      <c r="C291" s="9"/>
      <c r="D291" s="9"/>
      <c r="E291" s="9"/>
      <c r="F291" s="9"/>
      <c r="G291" s="10"/>
      <c r="H291" s="10"/>
      <c r="I291" s="10"/>
      <c r="J291" s="79"/>
    </row>
    <row r="292" spans="1:10" ht="15">
      <c r="A292" s="2"/>
      <c r="C292" s="9"/>
      <c r="D292" s="9"/>
      <c r="E292" s="9"/>
      <c r="F292" s="9"/>
      <c r="G292" s="10"/>
      <c r="H292" s="10"/>
      <c r="I292" s="10"/>
      <c r="J292" s="79"/>
    </row>
    <row r="293" spans="1:10" ht="15">
      <c r="A293" s="2"/>
      <c r="C293" s="9"/>
      <c r="D293" s="9"/>
      <c r="E293" s="9"/>
      <c r="F293" s="9"/>
      <c r="G293" s="10"/>
      <c r="H293" s="10"/>
      <c r="I293" s="10"/>
      <c r="J293" s="79"/>
    </row>
    <row r="294" spans="1:10" ht="15">
      <c r="A294" s="2"/>
      <c r="C294" s="9"/>
      <c r="D294" s="9"/>
      <c r="E294" s="9"/>
      <c r="F294" s="9"/>
      <c r="G294" s="10"/>
      <c r="H294" s="10"/>
      <c r="I294" s="10"/>
      <c r="J294" s="79"/>
    </row>
    <row r="295" spans="1:10" ht="15">
      <c r="A295" s="2"/>
      <c r="C295" s="9"/>
      <c r="D295" s="9"/>
      <c r="E295" s="9"/>
      <c r="F295" s="9"/>
      <c r="G295" s="10"/>
      <c r="H295" s="10"/>
      <c r="I295" s="10"/>
      <c r="J295" s="79"/>
    </row>
    <row r="296" spans="1:10" ht="15">
      <c r="A296" s="2"/>
      <c r="C296" s="9"/>
      <c r="D296" s="9"/>
      <c r="E296" s="9"/>
      <c r="F296" s="9"/>
      <c r="G296" s="10"/>
      <c r="H296" s="10"/>
      <c r="I296" s="10"/>
      <c r="J296" s="79"/>
    </row>
    <row r="297" spans="1:10" ht="15">
      <c r="A297" s="2"/>
      <c r="C297" s="9"/>
      <c r="D297" s="9"/>
      <c r="E297" s="9"/>
      <c r="F297" s="9"/>
      <c r="G297" s="10"/>
      <c r="H297" s="10"/>
      <c r="I297" s="10"/>
      <c r="J297" s="79"/>
    </row>
    <row r="298" spans="1:10" ht="15">
      <c r="A298" s="13"/>
      <c r="C298" s="9"/>
      <c r="D298" s="9"/>
      <c r="E298" s="9"/>
      <c r="F298" s="9"/>
      <c r="G298" s="10"/>
      <c r="H298" s="10"/>
      <c r="I298" s="10"/>
      <c r="J298" s="143"/>
    </row>
    <row r="299" spans="1:10" ht="15">
      <c r="A299" s="43"/>
      <c r="B299" s="52"/>
      <c r="C299" s="53"/>
      <c r="D299" s="148"/>
      <c r="E299" s="148"/>
      <c r="F299" s="148"/>
      <c r="G299" s="252"/>
      <c r="H299" s="54"/>
      <c r="I299" s="54"/>
      <c r="J299" s="79"/>
    </row>
    <row r="300" spans="1:10" ht="30">
      <c r="A300" s="43"/>
      <c r="B300" s="16" t="s">
        <v>4</v>
      </c>
      <c r="C300" s="55" t="s">
        <v>5</v>
      </c>
      <c r="D300" s="99" t="s">
        <v>6</v>
      </c>
      <c r="E300" s="100" t="s">
        <v>7</v>
      </c>
      <c r="F300" s="100" t="s">
        <v>8</v>
      </c>
      <c r="G300" s="101" t="s">
        <v>9</v>
      </c>
      <c r="H300" s="58" t="s">
        <v>11</v>
      </c>
      <c r="I300" s="59" t="s">
        <v>12</v>
      </c>
      <c r="J300" s="98"/>
    </row>
    <row r="301" spans="1:10" ht="15">
      <c r="A301" s="43"/>
      <c r="B301" s="125" t="s">
        <v>13</v>
      </c>
      <c r="C301" s="85">
        <v>4823114050442</v>
      </c>
      <c r="D301" s="85" t="s">
        <v>1019</v>
      </c>
      <c r="E301" s="85">
        <v>83430</v>
      </c>
      <c r="F301" s="86" t="s">
        <v>1020</v>
      </c>
      <c r="G301" s="268" t="s">
        <v>25</v>
      </c>
      <c r="H301" s="201">
        <v>4.8099999999999996</v>
      </c>
      <c r="I301" s="202">
        <v>9.61</v>
      </c>
      <c r="J301" s="98"/>
    </row>
    <row r="302" spans="1:10" ht="15">
      <c r="A302" s="43"/>
      <c r="B302" s="125" t="s">
        <v>13</v>
      </c>
      <c r="C302" s="85">
        <v>4823114050459</v>
      </c>
      <c r="D302" s="85" t="s">
        <v>1021</v>
      </c>
      <c r="E302" s="85">
        <v>83431</v>
      </c>
      <c r="F302" s="86" t="s">
        <v>1022</v>
      </c>
      <c r="G302" s="268" t="s">
        <v>25</v>
      </c>
      <c r="H302" s="203">
        <v>5.66</v>
      </c>
      <c r="I302" s="204">
        <v>11.32</v>
      </c>
      <c r="J302" s="98"/>
    </row>
    <row r="303" spans="1:10" ht="15">
      <c r="A303" s="13"/>
      <c r="B303" s="125" t="s">
        <v>13</v>
      </c>
      <c r="C303" s="85">
        <v>4823114050466</v>
      </c>
      <c r="D303" s="85" t="s">
        <v>1023</v>
      </c>
      <c r="E303" s="85">
        <v>83432</v>
      </c>
      <c r="F303" s="86" t="s">
        <v>1024</v>
      </c>
      <c r="G303" s="268" t="s">
        <v>25</v>
      </c>
      <c r="H303" s="203">
        <v>6.95</v>
      </c>
      <c r="I303" s="204">
        <v>13.89</v>
      </c>
      <c r="J303" s="143"/>
    </row>
    <row r="304" spans="1:10" ht="15">
      <c r="A304" s="43"/>
      <c r="B304" s="125" t="s">
        <v>13</v>
      </c>
      <c r="C304" s="85">
        <v>4823114050473</v>
      </c>
      <c r="D304" s="85" t="s">
        <v>1025</v>
      </c>
      <c r="E304" s="85">
        <v>83433</v>
      </c>
      <c r="F304" s="86" t="s">
        <v>1026</v>
      </c>
      <c r="G304" s="268" t="s">
        <v>25</v>
      </c>
      <c r="H304" s="203">
        <v>7.52</v>
      </c>
      <c r="I304" s="204">
        <v>15.03</v>
      </c>
      <c r="J304" s="79"/>
    </row>
    <row r="305" spans="1:10" ht="15">
      <c r="A305" s="43"/>
      <c r="B305" s="74"/>
      <c r="C305" s="131"/>
      <c r="D305" s="131"/>
      <c r="E305" s="75"/>
      <c r="F305" s="75"/>
      <c r="G305" s="76"/>
      <c r="H305" s="76"/>
      <c r="I305" s="127"/>
      <c r="J305" s="79"/>
    </row>
    <row r="306" spans="1:10" ht="15">
      <c r="A306" s="43"/>
      <c r="B306" s="251" t="s">
        <v>806</v>
      </c>
      <c r="C306" s="96"/>
      <c r="D306" s="96"/>
      <c r="E306" s="9"/>
      <c r="F306" s="9"/>
      <c r="G306" s="10"/>
      <c r="H306" s="10"/>
      <c r="I306" s="97"/>
      <c r="J306" s="79"/>
    </row>
    <row r="307" spans="1:10" ht="15">
      <c r="A307" s="1"/>
      <c r="B307" s="2"/>
      <c r="C307" s="79"/>
      <c r="D307" s="79"/>
      <c r="E307" s="2"/>
      <c r="F307" s="2"/>
      <c r="G307" s="2"/>
      <c r="H307" s="2"/>
      <c r="I307" s="2"/>
      <c r="J307" s="1"/>
    </row>
    <row r="308" spans="1:10" ht="15">
      <c r="A308" s="1"/>
      <c r="B308" s="334"/>
      <c r="C308" s="297"/>
      <c r="D308" s="297"/>
      <c r="E308" s="297"/>
      <c r="F308" s="297"/>
      <c r="G308" s="297"/>
      <c r="H308" s="297"/>
      <c r="I308" s="298"/>
      <c r="J308" s="1"/>
    </row>
    <row r="309" spans="1:10" ht="15">
      <c r="A309" s="1"/>
      <c r="B309" s="333"/>
      <c r="C309" s="329"/>
      <c r="D309" s="329"/>
      <c r="E309" s="329"/>
      <c r="F309" s="329"/>
      <c r="G309" s="329"/>
      <c r="H309" s="329"/>
      <c r="I309" s="330"/>
      <c r="J309" s="1"/>
    </row>
    <row r="310" spans="1:10" ht="15">
      <c r="A310" s="1"/>
      <c r="B310" s="333"/>
      <c r="C310" s="329"/>
      <c r="D310" s="329"/>
      <c r="E310" s="329"/>
      <c r="F310" s="329"/>
      <c r="G310" s="329"/>
      <c r="H310" s="329"/>
      <c r="I310" s="330"/>
      <c r="J310" s="1"/>
    </row>
    <row r="311" spans="1:10" ht="15">
      <c r="A311" s="1"/>
      <c r="B311" s="299"/>
      <c r="C311" s="300"/>
      <c r="D311" s="300"/>
      <c r="E311" s="300"/>
      <c r="F311" s="300"/>
      <c r="G311" s="300"/>
      <c r="H311" s="300"/>
      <c r="I311" s="301"/>
      <c r="J311" s="1"/>
    </row>
    <row r="312" spans="1:10" ht="15">
      <c r="A312" s="9"/>
      <c r="B312" s="9"/>
      <c r="C312" s="9"/>
      <c r="D312" s="9"/>
      <c r="E312" s="9"/>
      <c r="F312" s="9"/>
      <c r="G312" s="10"/>
      <c r="H312" s="10"/>
      <c r="I312" s="10"/>
      <c r="J312" s="50"/>
    </row>
    <row r="313" spans="1:10" ht="30">
      <c r="A313" s="272"/>
      <c r="B313" s="16" t="s">
        <v>4</v>
      </c>
      <c r="C313" s="55" t="s">
        <v>5</v>
      </c>
      <c r="D313" s="99" t="s">
        <v>6</v>
      </c>
      <c r="E313" s="100" t="s">
        <v>7</v>
      </c>
      <c r="F313" s="100" t="s">
        <v>8</v>
      </c>
      <c r="G313" s="101" t="s">
        <v>9</v>
      </c>
      <c r="H313" s="58" t="s">
        <v>11</v>
      </c>
      <c r="I313" s="59" t="s">
        <v>12</v>
      </c>
      <c r="J313" s="50"/>
    </row>
    <row r="314" spans="1:10" ht="15">
      <c r="A314" s="272"/>
      <c r="B314" s="125" t="s">
        <v>13</v>
      </c>
      <c r="C314" s="85">
        <v>4823114050374</v>
      </c>
      <c r="D314" s="85" t="s">
        <v>1027</v>
      </c>
      <c r="E314" s="85">
        <v>83459</v>
      </c>
      <c r="F314" s="86" t="s">
        <v>1028</v>
      </c>
      <c r="G314" s="63" t="s">
        <v>16</v>
      </c>
      <c r="H314" s="201">
        <v>8.61</v>
      </c>
      <c r="I314" s="202">
        <v>17.22</v>
      </c>
      <c r="J314" s="50"/>
    </row>
    <row r="315" spans="1:10" ht="15">
      <c r="A315" s="1"/>
      <c r="B315" s="125" t="s">
        <v>13</v>
      </c>
      <c r="C315" s="85">
        <v>4823114050381</v>
      </c>
      <c r="D315" s="85" t="s">
        <v>1029</v>
      </c>
      <c r="E315" s="85">
        <v>83460</v>
      </c>
      <c r="F315" s="86" t="s">
        <v>1028</v>
      </c>
      <c r="G315" s="63" t="s">
        <v>810</v>
      </c>
      <c r="H315" s="203">
        <v>8.61</v>
      </c>
      <c r="I315" s="204">
        <v>17.22</v>
      </c>
      <c r="J315" s="1"/>
    </row>
    <row r="316" spans="1:10" ht="15">
      <c r="A316" s="1"/>
      <c r="B316" s="125" t="s">
        <v>13</v>
      </c>
      <c r="C316" s="85">
        <v>4823114050398</v>
      </c>
      <c r="D316" s="85" t="s">
        <v>1030</v>
      </c>
      <c r="E316" s="85">
        <v>83461</v>
      </c>
      <c r="F316" s="86" t="s">
        <v>1028</v>
      </c>
      <c r="G316" s="63" t="s">
        <v>148</v>
      </c>
      <c r="H316" s="203">
        <v>8.61</v>
      </c>
      <c r="I316" s="204">
        <v>17.22</v>
      </c>
      <c r="J316" s="1"/>
    </row>
    <row r="317" spans="1:10" ht="15">
      <c r="A317" s="1"/>
      <c r="B317" s="125" t="s">
        <v>13</v>
      </c>
      <c r="C317" s="85">
        <v>4823114050404</v>
      </c>
      <c r="D317" s="85" t="s">
        <v>1031</v>
      </c>
      <c r="E317" s="85">
        <v>83462</v>
      </c>
      <c r="F317" s="86" t="s">
        <v>1028</v>
      </c>
      <c r="G317" s="63" t="s">
        <v>468</v>
      </c>
      <c r="H317" s="203">
        <v>8.61</v>
      </c>
      <c r="I317" s="204">
        <v>17.22</v>
      </c>
      <c r="J317" s="1"/>
    </row>
    <row r="318" spans="1:10" ht="15">
      <c r="A318" s="1"/>
      <c r="B318" s="125" t="s">
        <v>13</v>
      </c>
      <c r="C318" s="85">
        <v>4823114050411</v>
      </c>
      <c r="D318" s="85" t="s">
        <v>1032</v>
      </c>
      <c r="E318" s="85">
        <v>83463</v>
      </c>
      <c r="F318" s="86" t="s">
        <v>1028</v>
      </c>
      <c r="G318" s="63" t="s">
        <v>814</v>
      </c>
      <c r="H318" s="203">
        <v>8.61</v>
      </c>
      <c r="I318" s="204">
        <v>17.22</v>
      </c>
      <c r="J318" s="1"/>
    </row>
    <row r="319" spans="1:10" ht="15">
      <c r="A319" s="1"/>
      <c r="B319" s="125" t="s">
        <v>13</v>
      </c>
      <c r="C319" s="85">
        <v>4823114050428</v>
      </c>
      <c r="D319" s="85" t="s">
        <v>1033</v>
      </c>
      <c r="E319" s="85">
        <v>83464</v>
      </c>
      <c r="F319" s="86" t="s">
        <v>1028</v>
      </c>
      <c r="G319" s="63" t="s">
        <v>816</v>
      </c>
      <c r="H319" s="203">
        <v>8.61</v>
      </c>
      <c r="I319" s="204">
        <v>17.22</v>
      </c>
      <c r="J319" s="1"/>
    </row>
    <row r="320" spans="1:10" ht="15">
      <c r="A320" s="1"/>
      <c r="B320" s="125" t="s">
        <v>13</v>
      </c>
      <c r="C320" s="85">
        <v>4823114050435</v>
      </c>
      <c r="D320" s="85" t="s">
        <v>1034</v>
      </c>
      <c r="E320" s="85">
        <v>83465</v>
      </c>
      <c r="F320" s="86" t="s">
        <v>1028</v>
      </c>
      <c r="G320" s="63" t="s">
        <v>818</v>
      </c>
      <c r="H320" s="203">
        <v>8.61</v>
      </c>
      <c r="I320" s="204">
        <v>17.22</v>
      </c>
      <c r="J320" s="1"/>
    </row>
    <row r="321" spans="1:10" ht="15">
      <c r="A321" s="1"/>
      <c r="B321" s="125" t="s">
        <v>13</v>
      </c>
      <c r="C321" s="85">
        <v>4823114050367</v>
      </c>
      <c r="D321" s="85" t="s">
        <v>1035</v>
      </c>
      <c r="E321" s="85">
        <v>83458</v>
      </c>
      <c r="F321" s="86" t="s">
        <v>1028</v>
      </c>
      <c r="G321" s="63" t="s">
        <v>19</v>
      </c>
      <c r="H321" s="203">
        <v>8.61</v>
      </c>
      <c r="I321" s="204">
        <v>17.22</v>
      </c>
      <c r="J321" s="1"/>
    </row>
    <row r="322" spans="1:10" ht="15">
      <c r="A322" s="1"/>
      <c r="B322" s="125" t="s">
        <v>13</v>
      </c>
      <c r="C322" s="85">
        <v>4823114050299</v>
      </c>
      <c r="D322" s="85" t="s">
        <v>1036</v>
      </c>
      <c r="E322" s="85">
        <v>83451</v>
      </c>
      <c r="F322" s="86" t="s">
        <v>1037</v>
      </c>
      <c r="G322" s="63" t="s">
        <v>16</v>
      </c>
      <c r="H322" s="203">
        <v>7.42</v>
      </c>
      <c r="I322" s="204">
        <v>14.84</v>
      </c>
      <c r="J322" s="1"/>
    </row>
    <row r="323" spans="1:10" ht="15">
      <c r="A323" s="1"/>
      <c r="B323" s="125" t="s">
        <v>13</v>
      </c>
      <c r="C323" s="85">
        <v>4823114050305</v>
      </c>
      <c r="D323" s="85" t="s">
        <v>1038</v>
      </c>
      <c r="E323" s="85">
        <v>83452</v>
      </c>
      <c r="F323" s="86" t="s">
        <v>1037</v>
      </c>
      <c r="G323" s="63" t="s">
        <v>810</v>
      </c>
      <c r="H323" s="203">
        <v>7.42</v>
      </c>
      <c r="I323" s="204">
        <v>14.84</v>
      </c>
      <c r="J323" s="1"/>
    </row>
    <row r="324" spans="1:10" ht="15">
      <c r="A324" s="1"/>
      <c r="B324" s="125" t="s">
        <v>13</v>
      </c>
      <c r="C324" s="85">
        <v>4823114050312</v>
      </c>
      <c r="D324" s="85" t="s">
        <v>1039</v>
      </c>
      <c r="E324" s="85">
        <v>83453</v>
      </c>
      <c r="F324" s="86" t="s">
        <v>1037</v>
      </c>
      <c r="G324" s="63" t="s">
        <v>148</v>
      </c>
      <c r="H324" s="203">
        <v>7.42</v>
      </c>
      <c r="I324" s="204">
        <v>14.84</v>
      </c>
      <c r="J324" s="1"/>
    </row>
    <row r="325" spans="1:10" ht="15">
      <c r="A325" s="1"/>
      <c r="B325" s="125" t="s">
        <v>13</v>
      </c>
      <c r="C325" s="85">
        <v>4823114050329</v>
      </c>
      <c r="D325" s="85" t="s">
        <v>1040</v>
      </c>
      <c r="E325" s="85">
        <v>83454</v>
      </c>
      <c r="F325" s="86" t="s">
        <v>1037</v>
      </c>
      <c r="G325" s="63" t="s">
        <v>468</v>
      </c>
      <c r="H325" s="203">
        <v>7.42</v>
      </c>
      <c r="I325" s="204">
        <v>14.84</v>
      </c>
      <c r="J325" s="1"/>
    </row>
    <row r="326" spans="1:10" ht="15">
      <c r="A326" s="1"/>
      <c r="B326" s="125" t="s">
        <v>13</v>
      </c>
      <c r="C326" s="85">
        <v>4823114050336</v>
      </c>
      <c r="D326" s="85" t="s">
        <v>1041</v>
      </c>
      <c r="E326" s="85">
        <v>83455</v>
      </c>
      <c r="F326" s="86" t="s">
        <v>1037</v>
      </c>
      <c r="G326" s="63" t="s">
        <v>814</v>
      </c>
      <c r="H326" s="203">
        <v>7.42</v>
      </c>
      <c r="I326" s="204">
        <v>14.84</v>
      </c>
      <c r="J326" s="1"/>
    </row>
    <row r="327" spans="1:10" ht="15">
      <c r="A327" s="1"/>
      <c r="B327" s="125" t="s">
        <v>13</v>
      </c>
      <c r="C327" s="85">
        <v>4823114050343</v>
      </c>
      <c r="D327" s="85" t="s">
        <v>1042</v>
      </c>
      <c r="E327" s="85">
        <v>83456</v>
      </c>
      <c r="F327" s="86" t="s">
        <v>1037</v>
      </c>
      <c r="G327" s="63" t="s">
        <v>816</v>
      </c>
      <c r="H327" s="203">
        <v>7.42</v>
      </c>
      <c r="I327" s="204">
        <v>14.84</v>
      </c>
      <c r="J327" s="1"/>
    </row>
    <row r="328" spans="1:10" ht="15">
      <c r="A328" s="1"/>
      <c r="B328" s="125" t="s">
        <v>13</v>
      </c>
      <c r="C328" s="85">
        <v>4823114050350</v>
      </c>
      <c r="D328" s="85" t="s">
        <v>1043</v>
      </c>
      <c r="E328" s="85">
        <v>83457</v>
      </c>
      <c r="F328" s="86" t="s">
        <v>1037</v>
      </c>
      <c r="G328" s="63" t="s">
        <v>818</v>
      </c>
      <c r="H328" s="203">
        <v>7.42</v>
      </c>
      <c r="I328" s="204">
        <v>14.84</v>
      </c>
      <c r="J328" s="1"/>
    </row>
    <row r="329" spans="1:10" ht="15">
      <c r="A329" s="1"/>
      <c r="B329" s="125" t="s">
        <v>13</v>
      </c>
      <c r="C329" s="85">
        <v>4823114050282</v>
      </c>
      <c r="D329" s="85" t="s">
        <v>1044</v>
      </c>
      <c r="E329" s="85">
        <v>83450</v>
      </c>
      <c r="F329" s="86" t="s">
        <v>1037</v>
      </c>
      <c r="G329" s="63" t="s">
        <v>19</v>
      </c>
      <c r="H329" s="203">
        <v>7.42</v>
      </c>
      <c r="I329" s="204">
        <v>14.84</v>
      </c>
      <c r="J329" s="1"/>
    </row>
    <row r="330" spans="1:10" ht="15">
      <c r="A330" s="1"/>
      <c r="B330" s="126" t="s">
        <v>13</v>
      </c>
      <c r="C330" s="85">
        <v>4823114050213</v>
      </c>
      <c r="D330" s="85" t="s">
        <v>1045</v>
      </c>
      <c r="E330" s="85">
        <v>83443</v>
      </c>
      <c r="F330" s="86" t="s">
        <v>1046</v>
      </c>
      <c r="G330" s="63" t="s">
        <v>16</v>
      </c>
      <c r="H330" s="203">
        <v>9.18</v>
      </c>
      <c r="I330" s="204">
        <v>18.37</v>
      </c>
      <c r="J330" s="1"/>
    </row>
    <row r="331" spans="1:10" ht="15">
      <c r="A331" s="1"/>
      <c r="B331" s="126" t="s">
        <v>13</v>
      </c>
      <c r="C331" s="85">
        <v>4823114050220</v>
      </c>
      <c r="D331" s="85" t="s">
        <v>1047</v>
      </c>
      <c r="E331" s="85">
        <v>83444</v>
      </c>
      <c r="F331" s="86" t="s">
        <v>1046</v>
      </c>
      <c r="G331" s="63" t="s">
        <v>810</v>
      </c>
      <c r="H331" s="203">
        <v>9.18</v>
      </c>
      <c r="I331" s="204">
        <v>18.37</v>
      </c>
      <c r="J331" s="1"/>
    </row>
    <row r="332" spans="1:10" ht="15">
      <c r="A332" s="1"/>
      <c r="B332" s="126" t="s">
        <v>13</v>
      </c>
      <c r="C332" s="85">
        <v>4823114050237</v>
      </c>
      <c r="D332" s="85" t="s">
        <v>1048</v>
      </c>
      <c r="E332" s="85">
        <v>83445</v>
      </c>
      <c r="F332" s="86" t="s">
        <v>1046</v>
      </c>
      <c r="G332" s="63" t="s">
        <v>148</v>
      </c>
      <c r="H332" s="203">
        <v>9.18</v>
      </c>
      <c r="I332" s="204">
        <v>18.37</v>
      </c>
      <c r="J332" s="1"/>
    </row>
    <row r="333" spans="1:10" ht="15">
      <c r="A333" s="1"/>
      <c r="B333" s="126" t="s">
        <v>13</v>
      </c>
      <c r="C333" s="85">
        <v>4823114050244</v>
      </c>
      <c r="D333" s="85" t="s">
        <v>1049</v>
      </c>
      <c r="E333" s="85">
        <v>83446</v>
      </c>
      <c r="F333" s="86" t="s">
        <v>1046</v>
      </c>
      <c r="G333" s="63" t="s">
        <v>468</v>
      </c>
      <c r="H333" s="203">
        <v>9.18</v>
      </c>
      <c r="I333" s="204">
        <v>18.37</v>
      </c>
      <c r="J333" s="1"/>
    </row>
    <row r="334" spans="1:10" ht="15">
      <c r="A334" s="1"/>
      <c r="B334" s="126" t="s">
        <v>13</v>
      </c>
      <c r="C334" s="85">
        <v>4823114050251</v>
      </c>
      <c r="D334" s="85" t="s">
        <v>1050</v>
      </c>
      <c r="E334" s="85">
        <v>83447</v>
      </c>
      <c r="F334" s="86" t="s">
        <v>1046</v>
      </c>
      <c r="G334" s="63" t="s">
        <v>814</v>
      </c>
      <c r="H334" s="203">
        <v>9.18</v>
      </c>
      <c r="I334" s="204">
        <v>18.37</v>
      </c>
      <c r="J334" s="1"/>
    </row>
    <row r="335" spans="1:10" ht="15">
      <c r="A335" s="1"/>
      <c r="B335" s="126" t="s">
        <v>13</v>
      </c>
      <c r="C335" s="85">
        <v>4823114050268</v>
      </c>
      <c r="D335" s="85" t="s">
        <v>1051</v>
      </c>
      <c r="E335" s="85">
        <v>83448</v>
      </c>
      <c r="F335" s="86" t="s">
        <v>1046</v>
      </c>
      <c r="G335" s="63" t="s">
        <v>816</v>
      </c>
      <c r="H335" s="203">
        <v>9.18</v>
      </c>
      <c r="I335" s="204">
        <v>18.37</v>
      </c>
      <c r="J335" s="1"/>
    </row>
    <row r="336" spans="1:10" ht="15">
      <c r="A336" s="1"/>
      <c r="B336" s="126" t="s">
        <v>13</v>
      </c>
      <c r="C336" s="85">
        <v>4823114050275</v>
      </c>
      <c r="D336" s="85" t="s">
        <v>1052</v>
      </c>
      <c r="E336" s="85">
        <v>83449</v>
      </c>
      <c r="F336" s="86" t="s">
        <v>1046</v>
      </c>
      <c r="G336" s="63" t="s">
        <v>818</v>
      </c>
      <c r="H336" s="203">
        <v>9.18</v>
      </c>
      <c r="I336" s="204">
        <v>18.37</v>
      </c>
      <c r="J336" s="1"/>
    </row>
    <row r="337" spans="1:10" ht="15">
      <c r="A337" s="1"/>
      <c r="B337" s="126" t="s">
        <v>13</v>
      </c>
      <c r="C337" s="85">
        <v>4823114050206</v>
      </c>
      <c r="D337" s="85" t="s">
        <v>1053</v>
      </c>
      <c r="E337" s="85">
        <v>83442</v>
      </c>
      <c r="F337" s="86" t="s">
        <v>1046</v>
      </c>
      <c r="G337" s="63" t="s">
        <v>19</v>
      </c>
      <c r="H337" s="203">
        <v>9.18</v>
      </c>
      <c r="I337" s="204">
        <v>18.37</v>
      </c>
      <c r="J337" s="1"/>
    </row>
    <row r="338" spans="1:10" ht="15">
      <c r="A338" s="1"/>
      <c r="B338" s="126" t="s">
        <v>13</v>
      </c>
      <c r="C338" s="85">
        <v>4823114050138</v>
      </c>
      <c r="D338" s="85" t="s">
        <v>1054</v>
      </c>
      <c r="E338" s="85">
        <v>83435</v>
      </c>
      <c r="F338" s="86" t="s">
        <v>1055</v>
      </c>
      <c r="G338" s="63" t="s">
        <v>16</v>
      </c>
      <c r="H338" s="203">
        <v>7.99</v>
      </c>
      <c r="I338" s="204">
        <v>15.99</v>
      </c>
      <c r="J338" s="1"/>
    </row>
    <row r="339" spans="1:10" ht="15">
      <c r="A339" s="1"/>
      <c r="B339" s="126" t="s">
        <v>13</v>
      </c>
      <c r="C339" s="85">
        <v>4823114050145</v>
      </c>
      <c r="D339" s="85" t="s">
        <v>1056</v>
      </c>
      <c r="E339" s="85">
        <v>83436</v>
      </c>
      <c r="F339" s="86" t="s">
        <v>1055</v>
      </c>
      <c r="G339" s="63" t="s">
        <v>810</v>
      </c>
      <c r="H339" s="203">
        <v>7.99</v>
      </c>
      <c r="I339" s="204">
        <v>15.99</v>
      </c>
      <c r="J339" s="1"/>
    </row>
    <row r="340" spans="1:10" ht="15">
      <c r="A340" s="1"/>
      <c r="B340" s="126" t="s">
        <v>13</v>
      </c>
      <c r="C340" s="85">
        <v>4823114050152</v>
      </c>
      <c r="D340" s="85" t="s">
        <v>1057</v>
      </c>
      <c r="E340" s="85">
        <v>83437</v>
      </c>
      <c r="F340" s="86" t="s">
        <v>1055</v>
      </c>
      <c r="G340" s="63" t="s">
        <v>148</v>
      </c>
      <c r="H340" s="203">
        <v>7.99</v>
      </c>
      <c r="I340" s="204">
        <v>15.99</v>
      </c>
      <c r="J340" s="1"/>
    </row>
    <row r="341" spans="1:10" ht="15">
      <c r="A341" s="1"/>
      <c r="B341" s="126" t="s">
        <v>13</v>
      </c>
      <c r="C341" s="85">
        <v>4823114050169</v>
      </c>
      <c r="D341" s="85" t="s">
        <v>1058</v>
      </c>
      <c r="E341" s="85">
        <v>83438</v>
      </c>
      <c r="F341" s="86" t="s">
        <v>1055</v>
      </c>
      <c r="G341" s="63" t="s">
        <v>468</v>
      </c>
      <c r="H341" s="203">
        <v>7.99</v>
      </c>
      <c r="I341" s="204">
        <v>15.99</v>
      </c>
      <c r="J341" s="1"/>
    </row>
    <row r="342" spans="1:10" ht="15">
      <c r="A342" s="1"/>
      <c r="B342" s="126" t="s">
        <v>13</v>
      </c>
      <c r="C342" s="85">
        <v>4823114050176</v>
      </c>
      <c r="D342" s="85" t="s">
        <v>1059</v>
      </c>
      <c r="E342" s="85">
        <v>83439</v>
      </c>
      <c r="F342" s="86" t="s">
        <v>1055</v>
      </c>
      <c r="G342" s="63" t="s">
        <v>814</v>
      </c>
      <c r="H342" s="203">
        <v>7.99</v>
      </c>
      <c r="I342" s="204">
        <v>15.99</v>
      </c>
      <c r="J342" s="1"/>
    </row>
    <row r="343" spans="1:10" ht="15">
      <c r="A343" s="1"/>
      <c r="B343" s="126" t="s">
        <v>13</v>
      </c>
      <c r="C343" s="85">
        <v>4823114050183</v>
      </c>
      <c r="D343" s="85" t="s">
        <v>1060</v>
      </c>
      <c r="E343" s="85">
        <v>83440</v>
      </c>
      <c r="F343" s="86" t="s">
        <v>1055</v>
      </c>
      <c r="G343" s="63" t="s">
        <v>816</v>
      </c>
      <c r="H343" s="203">
        <v>7.99</v>
      </c>
      <c r="I343" s="204">
        <v>15.99</v>
      </c>
      <c r="J343" s="1"/>
    </row>
    <row r="344" spans="1:10" ht="15">
      <c r="A344" s="1"/>
      <c r="B344" s="126" t="s">
        <v>13</v>
      </c>
      <c r="C344" s="85">
        <v>4823114050190</v>
      </c>
      <c r="D344" s="85" t="s">
        <v>1061</v>
      </c>
      <c r="E344" s="85">
        <v>83441</v>
      </c>
      <c r="F344" s="86" t="s">
        <v>1055</v>
      </c>
      <c r="G344" s="63" t="s">
        <v>818</v>
      </c>
      <c r="H344" s="203">
        <v>7.99</v>
      </c>
      <c r="I344" s="204">
        <v>15.99</v>
      </c>
      <c r="J344" s="1"/>
    </row>
    <row r="345" spans="1:10" ht="15">
      <c r="A345" s="1"/>
      <c r="B345" s="126" t="s">
        <v>13</v>
      </c>
      <c r="C345" s="85">
        <v>4823114050121</v>
      </c>
      <c r="D345" s="85" t="s">
        <v>1062</v>
      </c>
      <c r="E345" s="85">
        <v>83434</v>
      </c>
      <c r="F345" s="86" t="s">
        <v>1055</v>
      </c>
      <c r="G345" s="63" t="s">
        <v>19</v>
      </c>
      <c r="H345" s="203">
        <v>7.99</v>
      </c>
      <c r="I345" s="204">
        <v>15.99</v>
      </c>
      <c r="J345" s="1"/>
    </row>
    <row r="346" spans="1:10" ht="15">
      <c r="A346" s="1"/>
      <c r="B346" s="74"/>
      <c r="C346" s="75"/>
      <c r="D346" s="75"/>
      <c r="E346" s="75"/>
      <c r="F346" s="75"/>
      <c r="G346" s="76"/>
      <c r="H346" s="76"/>
      <c r="I346" s="76"/>
      <c r="J346" s="1"/>
    </row>
    <row r="347" spans="1:10" ht="15">
      <c r="A347" s="1"/>
      <c r="B347" s="273" t="s">
        <v>1063</v>
      </c>
      <c r="C347" s="75"/>
      <c r="D347" s="75"/>
      <c r="E347" s="75"/>
      <c r="F347" s="75"/>
      <c r="G347" s="76"/>
      <c r="H347" s="76"/>
      <c r="I347" s="76"/>
      <c r="J347" s="1"/>
    </row>
    <row r="348" spans="1:10" ht="15">
      <c r="A348" s="1"/>
      <c r="B348" s="130"/>
      <c r="C348" s="255"/>
      <c r="D348" s="255"/>
      <c r="E348" s="255"/>
      <c r="F348" s="255"/>
      <c r="G348" s="256"/>
      <c r="H348" s="256"/>
      <c r="I348" s="256"/>
      <c r="J348" s="1"/>
    </row>
    <row r="349" spans="1:10" ht="30">
      <c r="A349" s="112"/>
      <c r="B349" s="16" t="s">
        <v>4</v>
      </c>
      <c r="C349" s="55" t="s">
        <v>5</v>
      </c>
      <c r="D349" s="99" t="s">
        <v>6</v>
      </c>
      <c r="E349" s="100" t="s">
        <v>7</v>
      </c>
      <c r="F349" s="100" t="s">
        <v>8</v>
      </c>
      <c r="G349" s="101" t="s">
        <v>9</v>
      </c>
      <c r="H349" s="58" t="s">
        <v>11</v>
      </c>
      <c r="I349" s="59" t="s">
        <v>12</v>
      </c>
      <c r="J349" s="78"/>
    </row>
    <row r="350" spans="1:10" ht="15">
      <c r="A350" s="112"/>
      <c r="B350" s="137" t="s">
        <v>13</v>
      </c>
      <c r="C350" s="85">
        <v>4823114061158</v>
      </c>
      <c r="D350" s="85" t="s">
        <v>1064</v>
      </c>
      <c r="E350" s="85">
        <v>98592</v>
      </c>
      <c r="F350" s="86" t="s">
        <v>1065</v>
      </c>
      <c r="G350" s="88" t="s">
        <v>16</v>
      </c>
      <c r="H350" s="36">
        <v>14.08</v>
      </c>
      <c r="I350" s="259">
        <v>28.16</v>
      </c>
      <c r="J350" s="78"/>
    </row>
    <row r="351" spans="1:10" ht="15">
      <c r="A351" s="112"/>
      <c r="B351" s="137" t="s">
        <v>13</v>
      </c>
      <c r="C351" s="85">
        <v>4823114060977</v>
      </c>
      <c r="D351" s="85" t="s">
        <v>1066</v>
      </c>
      <c r="E351" s="85">
        <v>91251</v>
      </c>
      <c r="F351" s="86" t="s">
        <v>1065</v>
      </c>
      <c r="G351" s="88" t="s">
        <v>19</v>
      </c>
      <c r="H351" s="36">
        <v>14.08</v>
      </c>
      <c r="I351" s="259">
        <v>28.16</v>
      </c>
      <c r="J351" s="78"/>
    </row>
    <row r="352" spans="1:10" ht="15">
      <c r="A352" s="112"/>
      <c r="B352" s="137" t="s">
        <v>13</v>
      </c>
      <c r="C352" s="85">
        <v>4823114061219</v>
      </c>
      <c r="D352" s="85" t="s">
        <v>1067</v>
      </c>
      <c r="E352" s="85">
        <v>98599</v>
      </c>
      <c r="F352" s="86" t="s">
        <v>1065</v>
      </c>
      <c r="G352" s="88" t="s">
        <v>818</v>
      </c>
      <c r="H352" s="36">
        <v>14.08</v>
      </c>
      <c r="I352" s="259">
        <v>28.16</v>
      </c>
      <c r="J352" s="78"/>
    </row>
    <row r="353" spans="1:10" ht="15">
      <c r="A353" s="112"/>
      <c r="B353" s="137" t="s">
        <v>13</v>
      </c>
      <c r="C353" s="85">
        <v>4823114061202</v>
      </c>
      <c r="D353" s="85" t="s">
        <v>1068</v>
      </c>
      <c r="E353" s="85">
        <v>98598</v>
      </c>
      <c r="F353" s="86" t="s">
        <v>1065</v>
      </c>
      <c r="G353" s="88" t="s">
        <v>816</v>
      </c>
      <c r="H353" s="36">
        <v>14.08</v>
      </c>
      <c r="I353" s="259">
        <v>28.16</v>
      </c>
      <c r="J353" s="78"/>
    </row>
    <row r="354" spans="1:10" ht="15">
      <c r="A354" s="112"/>
      <c r="B354" s="137" t="s">
        <v>13</v>
      </c>
      <c r="C354" s="85">
        <v>4823114061196</v>
      </c>
      <c r="D354" s="85" t="s">
        <v>1069</v>
      </c>
      <c r="E354" s="85">
        <v>98597</v>
      </c>
      <c r="F354" s="86" t="s">
        <v>1065</v>
      </c>
      <c r="G354" s="88" t="s">
        <v>814</v>
      </c>
      <c r="H354" s="36">
        <v>14.08</v>
      </c>
      <c r="I354" s="259">
        <v>28.16</v>
      </c>
      <c r="J354" s="78"/>
    </row>
    <row r="355" spans="1:10" ht="15">
      <c r="A355" s="112"/>
      <c r="B355" s="137" t="s">
        <v>13</v>
      </c>
      <c r="C355" s="85">
        <v>4823114061189</v>
      </c>
      <c r="D355" s="85" t="s">
        <v>1070</v>
      </c>
      <c r="E355" s="85">
        <v>98596</v>
      </c>
      <c r="F355" s="85" t="s">
        <v>1065</v>
      </c>
      <c r="G355" s="181" t="s">
        <v>468</v>
      </c>
      <c r="H355" s="36">
        <v>14.08</v>
      </c>
      <c r="I355" s="259">
        <v>28.16</v>
      </c>
      <c r="J355" s="78"/>
    </row>
    <row r="356" spans="1:10" ht="15">
      <c r="A356" s="112"/>
      <c r="B356" s="137" t="s">
        <v>13</v>
      </c>
      <c r="C356" s="85">
        <v>4823114061172</v>
      </c>
      <c r="D356" s="85" t="s">
        <v>1071</v>
      </c>
      <c r="E356" s="85">
        <v>98595</v>
      </c>
      <c r="F356" s="86" t="s">
        <v>1065</v>
      </c>
      <c r="G356" s="88" t="s">
        <v>148</v>
      </c>
      <c r="H356" s="36">
        <v>14.08</v>
      </c>
      <c r="I356" s="259">
        <v>28.16</v>
      </c>
      <c r="J356" s="78"/>
    </row>
    <row r="357" spans="1:10" ht="15">
      <c r="A357" s="112"/>
      <c r="B357" s="137" t="s">
        <v>13</v>
      </c>
      <c r="C357" s="85">
        <v>4823114061165</v>
      </c>
      <c r="D357" s="85" t="s">
        <v>1072</v>
      </c>
      <c r="E357" s="85">
        <v>98594</v>
      </c>
      <c r="F357" s="86" t="s">
        <v>1065</v>
      </c>
      <c r="G357" s="88" t="s">
        <v>810</v>
      </c>
      <c r="H357" s="36">
        <v>14.08</v>
      </c>
      <c r="I357" s="259">
        <v>28.16</v>
      </c>
      <c r="J357" s="78"/>
    </row>
    <row r="358" spans="1:10" ht="15">
      <c r="A358" s="112"/>
      <c r="B358" s="137" t="s">
        <v>13</v>
      </c>
      <c r="C358" s="85">
        <v>4823114061226</v>
      </c>
      <c r="D358" s="85" t="s">
        <v>1073</v>
      </c>
      <c r="E358" s="85">
        <v>98600</v>
      </c>
      <c r="F358" s="86" t="s">
        <v>1074</v>
      </c>
      <c r="G358" s="88" t="s">
        <v>16</v>
      </c>
      <c r="H358" s="36">
        <v>14.08</v>
      </c>
      <c r="I358" s="259">
        <v>28.16</v>
      </c>
      <c r="J358" s="78"/>
    </row>
    <row r="359" spans="1:10" ht="15">
      <c r="A359" s="112"/>
      <c r="B359" s="137" t="s">
        <v>13</v>
      </c>
      <c r="C359" s="85">
        <v>4823114061004</v>
      </c>
      <c r="D359" s="85" t="s">
        <v>1075</v>
      </c>
      <c r="E359" s="85">
        <v>91253</v>
      </c>
      <c r="F359" s="86" t="s">
        <v>1074</v>
      </c>
      <c r="G359" s="88" t="s">
        <v>19</v>
      </c>
      <c r="H359" s="36">
        <v>14.08</v>
      </c>
      <c r="I359" s="259">
        <v>28.16</v>
      </c>
      <c r="J359" s="78"/>
    </row>
    <row r="360" spans="1:10" ht="15">
      <c r="A360" s="112"/>
      <c r="B360" s="137" t="s">
        <v>13</v>
      </c>
      <c r="C360" s="85">
        <v>4823114061288</v>
      </c>
      <c r="D360" s="85" t="s">
        <v>1076</v>
      </c>
      <c r="E360" s="85">
        <v>98606</v>
      </c>
      <c r="F360" s="86" t="s">
        <v>1074</v>
      </c>
      <c r="G360" s="88" t="s">
        <v>818</v>
      </c>
      <c r="H360" s="36">
        <v>14.08</v>
      </c>
      <c r="I360" s="259">
        <v>28.16</v>
      </c>
      <c r="J360" s="78"/>
    </row>
    <row r="361" spans="1:10" ht="15">
      <c r="A361" s="112"/>
      <c r="B361" s="137" t="s">
        <v>13</v>
      </c>
      <c r="C361" s="85">
        <v>4823114061271</v>
      </c>
      <c r="D361" s="85" t="s">
        <v>1077</v>
      </c>
      <c r="E361" s="85">
        <v>98605</v>
      </c>
      <c r="F361" s="86" t="s">
        <v>1074</v>
      </c>
      <c r="G361" s="88" t="s">
        <v>816</v>
      </c>
      <c r="H361" s="36">
        <v>14.08</v>
      </c>
      <c r="I361" s="259">
        <v>28.16</v>
      </c>
      <c r="J361" s="78"/>
    </row>
    <row r="362" spans="1:10" ht="15">
      <c r="A362" s="112"/>
      <c r="B362" s="137" t="s">
        <v>13</v>
      </c>
      <c r="C362" s="85">
        <v>4823114061264</v>
      </c>
      <c r="D362" s="85" t="s">
        <v>1078</v>
      </c>
      <c r="E362" s="85">
        <v>98604</v>
      </c>
      <c r="F362" s="86" t="s">
        <v>1074</v>
      </c>
      <c r="G362" s="88" t="s">
        <v>814</v>
      </c>
      <c r="H362" s="36">
        <v>14.08</v>
      </c>
      <c r="I362" s="259">
        <v>28.16</v>
      </c>
      <c r="J362" s="78"/>
    </row>
    <row r="363" spans="1:10" ht="15">
      <c r="A363" s="112"/>
      <c r="B363" s="137" t="s">
        <v>13</v>
      </c>
      <c r="C363" s="85">
        <v>4823114061257</v>
      </c>
      <c r="D363" s="85" t="s">
        <v>1079</v>
      </c>
      <c r="E363" s="85">
        <v>98603</v>
      </c>
      <c r="F363" s="86" t="s">
        <v>1074</v>
      </c>
      <c r="G363" s="88" t="s">
        <v>468</v>
      </c>
      <c r="H363" s="36">
        <v>14.08</v>
      </c>
      <c r="I363" s="259">
        <v>28.16</v>
      </c>
      <c r="J363" s="78"/>
    </row>
    <row r="364" spans="1:10" ht="15">
      <c r="A364" s="112"/>
      <c r="B364" s="137" t="s">
        <v>13</v>
      </c>
      <c r="C364" s="85">
        <v>4823114061240</v>
      </c>
      <c r="D364" s="85" t="s">
        <v>1080</v>
      </c>
      <c r="E364" s="85">
        <v>98602</v>
      </c>
      <c r="F364" s="86" t="s">
        <v>1074</v>
      </c>
      <c r="G364" s="88" t="s">
        <v>148</v>
      </c>
      <c r="H364" s="36">
        <v>14.08</v>
      </c>
      <c r="I364" s="259">
        <v>28.16</v>
      </c>
      <c r="J364" s="78"/>
    </row>
    <row r="365" spans="1:10" ht="15">
      <c r="A365" s="112"/>
      <c r="B365" s="137" t="s">
        <v>13</v>
      </c>
      <c r="C365" s="85">
        <v>4823114061233</v>
      </c>
      <c r="D365" s="85" t="s">
        <v>1081</v>
      </c>
      <c r="E365" s="85">
        <v>98601</v>
      </c>
      <c r="F365" s="86" t="s">
        <v>1074</v>
      </c>
      <c r="G365" s="88" t="s">
        <v>810</v>
      </c>
      <c r="H365" s="36">
        <v>14.08</v>
      </c>
      <c r="I365" s="259">
        <v>28.16</v>
      </c>
      <c r="J365" s="78"/>
    </row>
    <row r="366" spans="1:10" ht="15">
      <c r="A366" s="1"/>
      <c r="B366" s="74"/>
      <c r="C366" s="75"/>
      <c r="D366" s="75"/>
      <c r="E366" s="75"/>
      <c r="F366" s="75"/>
      <c r="G366" s="76"/>
      <c r="H366" s="76"/>
      <c r="I366" s="76"/>
      <c r="J366" s="1"/>
    </row>
    <row r="367" spans="1:10" ht="15">
      <c r="A367" s="1"/>
      <c r="B367" s="51" t="s">
        <v>1082</v>
      </c>
      <c r="C367" s="75"/>
      <c r="D367" s="75"/>
      <c r="E367" s="75"/>
      <c r="F367" s="75"/>
      <c r="G367" s="76"/>
      <c r="H367" s="76"/>
      <c r="I367" s="76"/>
      <c r="J367" s="1"/>
    </row>
    <row r="368" spans="1:10" ht="15">
      <c r="A368" s="1"/>
      <c r="B368" s="74"/>
      <c r="C368" s="75"/>
      <c r="D368" s="75"/>
      <c r="E368" s="75"/>
      <c r="F368" s="75"/>
      <c r="G368" s="76"/>
      <c r="H368" s="76"/>
      <c r="I368" s="76"/>
      <c r="J368" s="1"/>
    </row>
    <row r="369" spans="1:10" ht="15">
      <c r="A369" s="1"/>
      <c r="B369" s="74" t="s">
        <v>1083</v>
      </c>
      <c r="C369" s="75"/>
      <c r="D369" s="75"/>
      <c r="E369" s="75"/>
      <c r="F369" s="75"/>
      <c r="G369" s="76"/>
      <c r="H369" s="76"/>
      <c r="I369" s="76"/>
      <c r="J369" s="1"/>
    </row>
    <row r="370" spans="1:10" ht="15">
      <c r="A370" s="1"/>
      <c r="B370" s="74"/>
      <c r="C370" s="75"/>
      <c r="D370" s="75"/>
      <c r="E370" s="75"/>
      <c r="F370" s="75"/>
      <c r="G370" s="76"/>
      <c r="H370" s="76"/>
      <c r="I370" s="76"/>
      <c r="J370" s="1"/>
    </row>
    <row r="371" spans="1:10" ht="30">
      <c r="A371" s="1"/>
      <c r="B371" s="16" t="s">
        <v>4</v>
      </c>
      <c r="C371" s="55" t="s">
        <v>5</v>
      </c>
      <c r="D371" s="99" t="s">
        <v>6</v>
      </c>
      <c r="E371" s="100" t="s">
        <v>7</v>
      </c>
      <c r="F371" s="100" t="s">
        <v>8</v>
      </c>
      <c r="G371" s="101" t="s">
        <v>9</v>
      </c>
      <c r="H371" s="58" t="s">
        <v>11</v>
      </c>
      <c r="I371" s="59" t="s">
        <v>12</v>
      </c>
      <c r="J371" s="1"/>
    </row>
    <row r="372" spans="1:10" ht="15">
      <c r="A372" s="1"/>
      <c r="B372" s="192" t="s">
        <v>13</v>
      </c>
      <c r="C372" s="61">
        <v>4823114061363</v>
      </c>
      <c r="D372" s="61" t="s">
        <v>1084</v>
      </c>
      <c r="E372" s="61">
        <v>98614</v>
      </c>
      <c r="F372" s="61" t="s">
        <v>1085</v>
      </c>
      <c r="G372" s="63" t="s">
        <v>25</v>
      </c>
      <c r="H372" s="274">
        <v>6.22</v>
      </c>
      <c r="I372" s="259">
        <v>12.44</v>
      </c>
      <c r="J372" s="1"/>
    </row>
    <row r="373" spans="1:10" ht="15">
      <c r="A373" s="1"/>
      <c r="B373" s="116"/>
      <c r="C373" s="219"/>
      <c r="D373" s="219"/>
      <c r="E373" s="219"/>
      <c r="F373" s="219"/>
      <c r="G373" s="219"/>
      <c r="H373" s="219"/>
      <c r="I373" s="219"/>
      <c r="J373" s="1"/>
    </row>
    <row r="374" spans="1:10" ht="15">
      <c r="A374" s="1"/>
      <c r="B374" s="14" t="s">
        <v>1086</v>
      </c>
      <c r="C374" s="219"/>
      <c r="D374" s="219"/>
      <c r="E374" s="219"/>
      <c r="F374" s="219"/>
      <c r="G374" s="219"/>
      <c r="H374" s="219"/>
      <c r="I374" s="219"/>
      <c r="J374" s="1"/>
    </row>
    <row r="375" spans="1:10" ht="15">
      <c r="A375" s="1"/>
      <c r="B375" s="219"/>
      <c r="C375" s="219"/>
      <c r="D375" s="219"/>
      <c r="E375" s="219"/>
      <c r="F375" s="219"/>
      <c r="G375" s="219"/>
      <c r="H375" s="219"/>
      <c r="I375" s="219"/>
      <c r="J375" s="1"/>
    </row>
    <row r="376" spans="1:10" ht="15">
      <c r="A376" s="1"/>
      <c r="B376" s="218" t="s">
        <v>1087</v>
      </c>
      <c r="C376" s="219"/>
      <c r="D376" s="219"/>
      <c r="E376" s="219"/>
      <c r="F376" s="219"/>
      <c r="G376" s="219"/>
      <c r="H376" s="219"/>
      <c r="I376" s="219"/>
      <c r="J376" s="1"/>
    </row>
    <row r="377" spans="1:10" ht="15">
      <c r="A377" s="1"/>
      <c r="B377" s="219"/>
      <c r="C377" s="219"/>
      <c r="D377" s="219"/>
      <c r="E377" s="219"/>
      <c r="F377" s="219"/>
      <c r="G377" s="219"/>
      <c r="H377" s="219"/>
      <c r="I377" s="219"/>
      <c r="J377" s="1"/>
    </row>
    <row r="378" spans="1:10" ht="30">
      <c r="A378" s="1"/>
      <c r="B378" s="44" t="s">
        <v>4</v>
      </c>
      <c r="C378" s="17" t="s">
        <v>5</v>
      </c>
      <c r="D378" s="157" t="s">
        <v>6</v>
      </c>
      <c r="E378" s="158" t="s">
        <v>7</v>
      </c>
      <c r="F378" s="158" t="s">
        <v>8</v>
      </c>
      <c r="G378" s="19" t="s">
        <v>9</v>
      </c>
      <c r="H378" s="20" t="s">
        <v>11</v>
      </c>
      <c r="I378" s="21" t="s">
        <v>12</v>
      </c>
      <c r="J378" s="1"/>
    </row>
    <row r="379" spans="1:10" ht="15">
      <c r="A379" s="1"/>
      <c r="B379" s="123" t="s">
        <v>13</v>
      </c>
      <c r="C379" s="38">
        <v>4823114071713</v>
      </c>
      <c r="D379" s="162" t="s">
        <v>1088</v>
      </c>
      <c r="E379" s="38">
        <v>126118</v>
      </c>
      <c r="F379" s="162" t="s">
        <v>1089</v>
      </c>
      <c r="G379" s="42" t="s">
        <v>25</v>
      </c>
      <c r="H379" s="41">
        <v>4.8600000000000003</v>
      </c>
      <c r="I379" s="41">
        <v>9.7200000000000006</v>
      </c>
      <c r="J379" s="78"/>
    </row>
    <row r="380" spans="1:10" ht="15">
      <c r="A380" s="1"/>
      <c r="B380" s="123" t="s">
        <v>13</v>
      </c>
      <c r="C380" s="38">
        <v>4823114071720</v>
      </c>
      <c r="D380" s="162" t="s">
        <v>1090</v>
      </c>
      <c r="E380" s="38">
        <v>126119</v>
      </c>
      <c r="F380" s="162" t="s">
        <v>1091</v>
      </c>
      <c r="G380" s="42" t="s">
        <v>25</v>
      </c>
      <c r="H380" s="41">
        <v>4.8600000000000003</v>
      </c>
      <c r="I380" s="41">
        <v>9.7200000000000006</v>
      </c>
      <c r="J380" s="78"/>
    </row>
    <row r="381" spans="1:10" ht="15">
      <c r="A381" s="1"/>
      <c r="B381" s="123" t="s">
        <v>13</v>
      </c>
      <c r="C381" s="38">
        <v>4823114071744</v>
      </c>
      <c r="D381" s="162" t="s">
        <v>1092</v>
      </c>
      <c r="E381" s="38">
        <v>126121</v>
      </c>
      <c r="F381" s="162" t="s">
        <v>1093</v>
      </c>
      <c r="G381" s="42" t="s">
        <v>16</v>
      </c>
      <c r="H381" s="41">
        <v>3.9</v>
      </c>
      <c r="I381" s="41">
        <v>7.8</v>
      </c>
      <c r="J381" s="78"/>
    </row>
    <row r="382" spans="1:10" ht="15">
      <c r="A382" s="1"/>
      <c r="B382" s="123" t="s">
        <v>13</v>
      </c>
      <c r="C382" s="38">
        <v>4823114071737</v>
      </c>
      <c r="D382" s="162" t="s">
        <v>1094</v>
      </c>
      <c r="E382" s="38">
        <v>126120</v>
      </c>
      <c r="F382" s="162" t="s">
        <v>1093</v>
      </c>
      <c r="G382" s="42" t="s">
        <v>19</v>
      </c>
      <c r="H382" s="41">
        <v>3.9</v>
      </c>
      <c r="I382" s="41">
        <v>7.8</v>
      </c>
      <c r="J382" s="78"/>
    </row>
    <row r="383" spans="1:10" ht="15">
      <c r="A383" s="1"/>
      <c r="B383" s="123" t="s">
        <v>13</v>
      </c>
      <c r="C383" s="38">
        <v>4823114071751</v>
      </c>
      <c r="D383" s="162" t="s">
        <v>1095</v>
      </c>
      <c r="E383" s="38">
        <v>126122</v>
      </c>
      <c r="F383" s="162" t="s">
        <v>1093</v>
      </c>
      <c r="G383" s="42" t="s">
        <v>814</v>
      </c>
      <c r="H383" s="41">
        <v>3.9</v>
      </c>
      <c r="I383" s="41">
        <v>7.8</v>
      </c>
      <c r="J383" s="78"/>
    </row>
    <row r="384" spans="1:10" ht="15">
      <c r="A384" s="1"/>
      <c r="B384" s="123" t="s">
        <v>13</v>
      </c>
      <c r="C384" s="38">
        <v>4823114071768</v>
      </c>
      <c r="D384" s="162" t="s">
        <v>1096</v>
      </c>
      <c r="E384" s="38">
        <v>126123</v>
      </c>
      <c r="F384" s="162" t="s">
        <v>1093</v>
      </c>
      <c r="G384" s="42" t="s">
        <v>468</v>
      </c>
      <c r="H384" s="41">
        <v>3.9</v>
      </c>
      <c r="I384" s="41">
        <v>7.8</v>
      </c>
      <c r="J384" s="78"/>
    </row>
    <row r="385" spans="1:10" ht="15">
      <c r="A385" s="1"/>
      <c r="B385" s="123" t="s">
        <v>13</v>
      </c>
      <c r="C385" s="38">
        <v>4823114071775</v>
      </c>
      <c r="D385" s="162" t="s">
        <v>1097</v>
      </c>
      <c r="E385" s="38">
        <v>126124</v>
      </c>
      <c r="F385" s="162" t="s">
        <v>1093</v>
      </c>
      <c r="G385" s="42" t="s">
        <v>148</v>
      </c>
      <c r="H385" s="41">
        <v>3.9</v>
      </c>
      <c r="I385" s="41">
        <v>7.8</v>
      </c>
      <c r="J385" s="78"/>
    </row>
    <row r="386" spans="1:10" ht="15">
      <c r="A386" s="1"/>
      <c r="B386" s="123" t="s">
        <v>13</v>
      </c>
      <c r="C386" s="38">
        <v>4823114071782</v>
      </c>
      <c r="D386" s="162" t="s">
        <v>1098</v>
      </c>
      <c r="E386" s="38">
        <v>126125</v>
      </c>
      <c r="F386" s="162" t="s">
        <v>1093</v>
      </c>
      <c r="G386" s="42" t="s">
        <v>810</v>
      </c>
      <c r="H386" s="41">
        <v>3.9</v>
      </c>
      <c r="I386" s="41">
        <v>7.8</v>
      </c>
      <c r="J386" s="78"/>
    </row>
    <row r="387" spans="1:10" ht="15">
      <c r="A387" s="1"/>
      <c r="B387" s="123" t="s">
        <v>13</v>
      </c>
      <c r="C387" s="38">
        <v>4823114071799</v>
      </c>
      <c r="D387" s="162" t="s">
        <v>1099</v>
      </c>
      <c r="E387" s="38">
        <v>126126</v>
      </c>
      <c r="F387" s="162" t="s">
        <v>1093</v>
      </c>
      <c r="G387" s="42" t="s">
        <v>818</v>
      </c>
      <c r="H387" s="41">
        <v>3.9</v>
      </c>
      <c r="I387" s="41">
        <v>7.8</v>
      </c>
      <c r="J387" s="78"/>
    </row>
    <row r="388" spans="1:10" ht="15">
      <c r="A388" s="1"/>
      <c r="B388" s="123" t="s">
        <v>13</v>
      </c>
      <c r="C388" s="38">
        <v>4823114071805</v>
      </c>
      <c r="D388" s="162" t="s">
        <v>1100</v>
      </c>
      <c r="E388" s="38">
        <v>126127</v>
      </c>
      <c r="F388" s="162" t="s">
        <v>1093</v>
      </c>
      <c r="G388" s="42" t="s">
        <v>816</v>
      </c>
      <c r="H388" s="41">
        <v>3.9</v>
      </c>
      <c r="I388" s="41">
        <v>7.8</v>
      </c>
      <c r="J388" s="78"/>
    </row>
    <row r="389" spans="1:10" ht="15">
      <c r="A389" s="1"/>
      <c r="B389" s="123" t="s">
        <v>13</v>
      </c>
      <c r="C389" s="38">
        <v>4823114071829</v>
      </c>
      <c r="D389" s="162" t="s">
        <v>1101</v>
      </c>
      <c r="E389" s="38">
        <v>126129</v>
      </c>
      <c r="F389" s="162" t="s">
        <v>1102</v>
      </c>
      <c r="G389" s="42" t="s">
        <v>16</v>
      </c>
      <c r="H389" s="41">
        <v>4.34</v>
      </c>
      <c r="I389" s="41">
        <v>8.68</v>
      </c>
      <c r="J389" s="78"/>
    </row>
    <row r="390" spans="1:10" ht="15">
      <c r="A390" s="1"/>
      <c r="B390" s="123" t="s">
        <v>13</v>
      </c>
      <c r="C390" s="38">
        <v>4823114071812</v>
      </c>
      <c r="D390" s="162" t="s">
        <v>1103</v>
      </c>
      <c r="E390" s="38">
        <v>126128</v>
      </c>
      <c r="F390" s="162" t="s">
        <v>1102</v>
      </c>
      <c r="G390" s="42" t="s">
        <v>19</v>
      </c>
      <c r="H390" s="41">
        <v>4.34</v>
      </c>
      <c r="I390" s="41">
        <v>8.68</v>
      </c>
      <c r="J390" s="78"/>
    </row>
    <row r="391" spans="1:10" ht="15">
      <c r="A391" s="1"/>
      <c r="B391" s="123" t="s">
        <v>13</v>
      </c>
      <c r="C391" s="38">
        <v>4823114071836</v>
      </c>
      <c r="D391" s="162" t="s">
        <v>1104</v>
      </c>
      <c r="E391" s="38">
        <v>126130</v>
      </c>
      <c r="F391" s="162" t="s">
        <v>1102</v>
      </c>
      <c r="G391" s="42" t="s">
        <v>814</v>
      </c>
      <c r="H391" s="41">
        <v>4.34</v>
      </c>
      <c r="I391" s="41">
        <v>8.68</v>
      </c>
      <c r="J391" s="78"/>
    </row>
    <row r="392" spans="1:10" ht="15">
      <c r="A392" s="1"/>
      <c r="B392" s="123" t="s">
        <v>13</v>
      </c>
      <c r="C392" s="38">
        <v>4823114071843</v>
      </c>
      <c r="D392" s="162" t="s">
        <v>1105</v>
      </c>
      <c r="E392" s="38">
        <v>126131</v>
      </c>
      <c r="F392" s="162" t="s">
        <v>1102</v>
      </c>
      <c r="G392" s="42" t="s">
        <v>468</v>
      </c>
      <c r="H392" s="41">
        <v>4.34</v>
      </c>
      <c r="I392" s="41">
        <v>8.68</v>
      </c>
      <c r="J392" s="78"/>
    </row>
    <row r="393" spans="1:10" ht="15">
      <c r="A393" s="1"/>
      <c r="B393" s="123" t="s">
        <v>13</v>
      </c>
      <c r="C393" s="38">
        <v>4823114071850</v>
      </c>
      <c r="D393" s="162" t="s">
        <v>1106</v>
      </c>
      <c r="E393" s="38">
        <v>126132</v>
      </c>
      <c r="F393" s="162" t="s">
        <v>1102</v>
      </c>
      <c r="G393" s="42" t="s">
        <v>148</v>
      </c>
      <c r="H393" s="41">
        <v>4.34</v>
      </c>
      <c r="I393" s="41">
        <v>8.68</v>
      </c>
      <c r="J393" s="78"/>
    </row>
    <row r="394" spans="1:10" ht="15">
      <c r="A394" s="1"/>
      <c r="B394" s="123" t="s">
        <v>13</v>
      </c>
      <c r="C394" s="38">
        <v>4823114071867</v>
      </c>
      <c r="D394" s="162" t="s">
        <v>1107</v>
      </c>
      <c r="E394" s="38">
        <v>126133</v>
      </c>
      <c r="F394" s="162" t="s">
        <v>1102</v>
      </c>
      <c r="G394" s="42" t="s">
        <v>810</v>
      </c>
      <c r="H394" s="41">
        <v>4.34</v>
      </c>
      <c r="I394" s="41">
        <v>8.68</v>
      </c>
      <c r="J394" s="78"/>
    </row>
    <row r="395" spans="1:10" ht="15">
      <c r="A395" s="1"/>
      <c r="B395" s="123" t="s">
        <v>13</v>
      </c>
      <c r="C395" s="38">
        <v>4823114071874</v>
      </c>
      <c r="D395" s="162" t="s">
        <v>1108</v>
      </c>
      <c r="E395" s="38">
        <v>126134</v>
      </c>
      <c r="F395" s="162" t="s">
        <v>1102</v>
      </c>
      <c r="G395" s="42" t="s">
        <v>818</v>
      </c>
      <c r="H395" s="41">
        <v>4.34</v>
      </c>
      <c r="I395" s="41">
        <v>8.68</v>
      </c>
      <c r="J395" s="78"/>
    </row>
    <row r="396" spans="1:10" ht="15">
      <c r="A396" s="1"/>
      <c r="B396" s="123" t="s">
        <v>13</v>
      </c>
      <c r="C396" s="38">
        <v>4823114071881</v>
      </c>
      <c r="D396" s="162" t="s">
        <v>1109</v>
      </c>
      <c r="E396" s="38">
        <v>126135</v>
      </c>
      <c r="F396" s="162" t="s">
        <v>1102</v>
      </c>
      <c r="G396" s="42" t="s">
        <v>816</v>
      </c>
      <c r="H396" s="41">
        <v>4.34</v>
      </c>
      <c r="I396" s="41">
        <v>8.68</v>
      </c>
      <c r="J396" s="78"/>
    </row>
    <row r="397" spans="1:10" ht="15">
      <c r="A397" s="1"/>
      <c r="B397" s="123" t="s">
        <v>13</v>
      </c>
      <c r="C397" s="38">
        <v>4823114071904</v>
      </c>
      <c r="D397" s="162" t="s">
        <v>1110</v>
      </c>
      <c r="E397" s="38">
        <v>126137</v>
      </c>
      <c r="F397" s="162" t="s">
        <v>1111</v>
      </c>
      <c r="G397" s="42" t="s">
        <v>16</v>
      </c>
      <c r="H397" s="41">
        <v>3.23</v>
      </c>
      <c r="I397" s="41">
        <v>6.46</v>
      </c>
      <c r="J397" s="78"/>
    </row>
    <row r="398" spans="1:10" ht="15">
      <c r="A398" s="1"/>
      <c r="B398" s="123" t="s">
        <v>13</v>
      </c>
      <c r="C398" s="38">
        <v>4823114071898</v>
      </c>
      <c r="D398" s="162" t="s">
        <v>1112</v>
      </c>
      <c r="E398" s="38">
        <v>126136</v>
      </c>
      <c r="F398" s="162" t="s">
        <v>1111</v>
      </c>
      <c r="G398" s="42" t="s">
        <v>19</v>
      </c>
      <c r="H398" s="41">
        <v>3.23</v>
      </c>
      <c r="I398" s="41">
        <v>6.46</v>
      </c>
      <c r="J398" s="78"/>
    </row>
    <row r="399" spans="1:10" ht="15">
      <c r="A399" s="1"/>
      <c r="B399" s="123" t="s">
        <v>13</v>
      </c>
      <c r="C399" s="38">
        <v>4823114071911</v>
      </c>
      <c r="D399" s="162" t="s">
        <v>1113</v>
      </c>
      <c r="E399" s="38">
        <v>126138</v>
      </c>
      <c r="F399" s="162" t="s">
        <v>1111</v>
      </c>
      <c r="G399" s="42" t="s">
        <v>814</v>
      </c>
      <c r="H399" s="41">
        <v>3.23</v>
      </c>
      <c r="I399" s="41">
        <v>6.46</v>
      </c>
      <c r="J399" s="78"/>
    </row>
    <row r="400" spans="1:10" ht="15">
      <c r="A400" s="1"/>
      <c r="B400" s="123" t="s">
        <v>13</v>
      </c>
      <c r="C400" s="38">
        <v>4823114071928</v>
      </c>
      <c r="D400" s="162" t="s">
        <v>1114</v>
      </c>
      <c r="E400" s="38">
        <v>126139</v>
      </c>
      <c r="F400" s="162" t="s">
        <v>1111</v>
      </c>
      <c r="G400" s="42" t="s">
        <v>468</v>
      </c>
      <c r="H400" s="41">
        <v>3.23</v>
      </c>
      <c r="I400" s="41">
        <v>6.46</v>
      </c>
      <c r="J400" s="78"/>
    </row>
    <row r="401" spans="1:10" ht="15">
      <c r="A401" s="1"/>
      <c r="B401" s="123" t="s">
        <v>13</v>
      </c>
      <c r="C401" s="38">
        <v>4823114071935</v>
      </c>
      <c r="D401" s="162" t="s">
        <v>1115</v>
      </c>
      <c r="E401" s="38">
        <v>126140</v>
      </c>
      <c r="F401" s="162" t="s">
        <v>1111</v>
      </c>
      <c r="G401" s="42" t="s">
        <v>148</v>
      </c>
      <c r="H401" s="41">
        <v>3.23</v>
      </c>
      <c r="I401" s="41">
        <v>6.46</v>
      </c>
      <c r="J401" s="78"/>
    </row>
    <row r="402" spans="1:10" ht="15">
      <c r="A402" s="1"/>
      <c r="B402" s="123" t="s">
        <v>13</v>
      </c>
      <c r="C402" s="38">
        <v>4823114071942</v>
      </c>
      <c r="D402" s="162" t="s">
        <v>1116</v>
      </c>
      <c r="E402" s="38">
        <v>126141</v>
      </c>
      <c r="F402" s="162" t="s">
        <v>1111</v>
      </c>
      <c r="G402" s="42" t="s">
        <v>810</v>
      </c>
      <c r="H402" s="41">
        <v>3.23</v>
      </c>
      <c r="I402" s="41">
        <v>6.46</v>
      </c>
      <c r="J402" s="78"/>
    </row>
    <row r="403" spans="1:10" ht="15">
      <c r="A403" s="1"/>
      <c r="B403" s="123" t="s">
        <v>13</v>
      </c>
      <c r="C403" s="38">
        <v>4823114071959</v>
      </c>
      <c r="D403" s="162" t="s">
        <v>1117</v>
      </c>
      <c r="E403" s="38">
        <v>126142</v>
      </c>
      <c r="F403" s="162" t="s">
        <v>1111</v>
      </c>
      <c r="G403" s="42" t="s">
        <v>818</v>
      </c>
      <c r="H403" s="41">
        <v>3.23</v>
      </c>
      <c r="I403" s="41">
        <v>6.46</v>
      </c>
      <c r="J403" s="78"/>
    </row>
    <row r="404" spans="1:10" ht="15">
      <c r="A404" s="1"/>
      <c r="B404" s="123" t="s">
        <v>13</v>
      </c>
      <c r="C404" s="38">
        <v>4823114071966</v>
      </c>
      <c r="D404" s="162" t="s">
        <v>1118</v>
      </c>
      <c r="E404" s="38">
        <v>126143</v>
      </c>
      <c r="F404" s="162" t="s">
        <v>1111</v>
      </c>
      <c r="G404" s="42" t="s">
        <v>816</v>
      </c>
      <c r="H404" s="41">
        <v>3.23</v>
      </c>
      <c r="I404" s="41">
        <v>6.46</v>
      </c>
      <c r="J404" s="78"/>
    </row>
    <row r="405" spans="1:10" ht="15">
      <c r="A405" s="1"/>
      <c r="B405" s="74"/>
      <c r="C405" s="75"/>
      <c r="D405" s="75"/>
      <c r="E405" s="75"/>
      <c r="F405" s="75"/>
      <c r="G405" s="76"/>
      <c r="H405" s="76"/>
      <c r="I405" s="76"/>
      <c r="J405" s="1"/>
    </row>
    <row r="406" spans="1:10" ht="15">
      <c r="A406" s="2"/>
      <c r="B406" s="51" t="s">
        <v>1119</v>
      </c>
      <c r="C406" s="9"/>
      <c r="D406" s="9"/>
      <c r="E406" s="9"/>
      <c r="F406" s="9"/>
      <c r="G406" s="10"/>
      <c r="H406" s="10"/>
      <c r="I406" s="10"/>
      <c r="J406" s="1"/>
    </row>
    <row r="407" spans="1:10" ht="15">
      <c r="A407" s="2"/>
      <c r="B407" s="2"/>
      <c r="C407" s="9"/>
      <c r="D407" s="9"/>
      <c r="E407" s="9"/>
      <c r="F407" s="9"/>
      <c r="G407" s="10"/>
      <c r="H407" s="10"/>
      <c r="I407" s="10"/>
      <c r="J407" s="1"/>
    </row>
    <row r="408" spans="1:10" ht="30">
      <c r="A408" s="13"/>
      <c r="B408" s="16" t="s">
        <v>4</v>
      </c>
      <c r="C408" s="55" t="s">
        <v>5</v>
      </c>
      <c r="D408" s="99" t="s">
        <v>6</v>
      </c>
      <c r="E408" s="100" t="s">
        <v>7</v>
      </c>
      <c r="F408" s="100" t="s">
        <v>8</v>
      </c>
      <c r="G408" s="101" t="s">
        <v>9</v>
      </c>
      <c r="H408" s="58" t="s">
        <v>11</v>
      </c>
      <c r="I408" s="59" t="s">
        <v>12</v>
      </c>
      <c r="J408" s="1"/>
    </row>
    <row r="409" spans="1:10" ht="15">
      <c r="A409" s="43"/>
      <c r="B409" s="188" t="s">
        <v>13</v>
      </c>
      <c r="C409" s="87">
        <v>4823114065125</v>
      </c>
      <c r="D409" s="87" t="s">
        <v>1120</v>
      </c>
      <c r="E409" s="87">
        <v>107589</v>
      </c>
      <c r="F409" s="87" t="s">
        <v>1121</v>
      </c>
      <c r="G409" s="88" t="s">
        <v>19</v>
      </c>
      <c r="H409" s="71">
        <v>8.1199999999999992</v>
      </c>
      <c r="I409" s="71">
        <v>16.239999999999998</v>
      </c>
      <c r="J409" s="78"/>
    </row>
    <row r="410" spans="1:10" ht="15">
      <c r="A410" s="1"/>
      <c r="B410" s="74"/>
      <c r="C410" s="75"/>
      <c r="D410" s="75"/>
      <c r="E410" s="75"/>
      <c r="F410" s="75"/>
      <c r="G410" s="76"/>
      <c r="H410" s="76"/>
      <c r="I410" s="76"/>
      <c r="J410" s="1"/>
    </row>
    <row r="411" spans="1:10" ht="15">
      <c r="A411" s="1"/>
      <c r="B411" s="2"/>
      <c r="C411" s="3"/>
      <c r="D411" s="3"/>
      <c r="E411" s="3"/>
      <c r="F411" s="3"/>
      <c r="G411" s="4"/>
      <c r="H411" s="4"/>
      <c r="I411" s="4"/>
      <c r="J411" s="1"/>
    </row>
    <row r="412" spans="1:10" ht="15">
      <c r="A412" s="1"/>
      <c r="B412" s="2"/>
      <c r="C412" s="3"/>
      <c r="D412" s="3"/>
      <c r="E412" s="3"/>
      <c r="F412" s="3"/>
      <c r="G412" s="4"/>
      <c r="H412" s="4"/>
      <c r="I412" s="4"/>
      <c r="J412" s="1"/>
    </row>
    <row r="413" spans="1:10" ht="15">
      <c r="A413" s="1"/>
      <c r="B413" s="2"/>
      <c r="C413" s="3"/>
      <c r="D413" s="3"/>
      <c r="E413" s="3"/>
      <c r="F413" s="3"/>
      <c r="G413" s="4"/>
      <c r="H413" s="4"/>
      <c r="I413" s="4"/>
      <c r="J413" s="1"/>
    </row>
    <row r="414" spans="1:10" ht="15">
      <c r="A414" s="1"/>
      <c r="B414" s="2"/>
      <c r="C414" s="3"/>
      <c r="D414" s="3"/>
      <c r="E414" s="3"/>
      <c r="F414" s="3"/>
      <c r="G414" s="4"/>
      <c r="H414" s="4"/>
      <c r="I414" s="4"/>
      <c r="J414" s="1"/>
    </row>
    <row r="415" spans="1:10" ht="15">
      <c r="A415" s="1"/>
      <c r="B415" s="2"/>
      <c r="C415" s="3"/>
      <c r="D415" s="3"/>
      <c r="E415" s="3"/>
      <c r="F415" s="3"/>
      <c r="G415" s="4"/>
      <c r="H415" s="4"/>
      <c r="I415" s="4"/>
      <c r="J415" s="1"/>
    </row>
    <row r="416" spans="1:10" ht="15">
      <c r="A416" s="1"/>
      <c r="B416" s="2"/>
      <c r="C416" s="3"/>
      <c r="D416" s="3"/>
      <c r="E416" s="3"/>
      <c r="F416" s="3"/>
      <c r="G416" s="4"/>
      <c r="H416" s="4"/>
      <c r="I416" s="4"/>
      <c r="J416" s="1"/>
    </row>
    <row r="417" spans="1:10" ht="15">
      <c r="A417" s="1"/>
      <c r="B417" s="2"/>
      <c r="C417" s="3"/>
      <c r="D417" s="3"/>
      <c r="E417" s="3"/>
      <c r="F417" s="3"/>
      <c r="G417" s="4"/>
      <c r="H417" s="4"/>
      <c r="I417" s="4"/>
      <c r="J417" s="1"/>
    </row>
    <row r="418" spans="1:10" ht="15">
      <c r="A418" s="1"/>
      <c r="B418" s="2"/>
      <c r="C418" s="3"/>
      <c r="D418" s="3"/>
      <c r="E418" s="3"/>
      <c r="F418" s="3"/>
      <c r="G418" s="4"/>
      <c r="H418" s="4"/>
      <c r="I418" s="4"/>
      <c r="J418" s="1"/>
    </row>
    <row r="419" spans="1:10" ht="15">
      <c r="A419" s="1"/>
      <c r="B419" s="2"/>
      <c r="C419" s="3"/>
      <c r="D419" s="3"/>
      <c r="E419" s="3"/>
      <c r="F419" s="3"/>
      <c r="G419" s="4"/>
      <c r="H419" s="4"/>
      <c r="I419" s="4"/>
      <c r="J419" s="1"/>
    </row>
    <row r="420" spans="1:10" ht="15">
      <c r="A420" s="1"/>
      <c r="B420" s="2"/>
      <c r="C420" s="3"/>
      <c r="D420" s="3"/>
      <c r="E420" s="3"/>
      <c r="F420" s="3"/>
      <c r="G420" s="4"/>
      <c r="H420" s="4"/>
      <c r="I420" s="4"/>
      <c r="J420" s="1"/>
    </row>
    <row r="421" spans="1:10" ht="15">
      <c r="A421" s="1"/>
      <c r="B421" s="2"/>
      <c r="C421" s="3"/>
      <c r="D421" s="3"/>
      <c r="E421" s="3"/>
      <c r="F421" s="3"/>
      <c r="G421" s="4"/>
      <c r="H421" s="4"/>
      <c r="I421" s="4"/>
      <c r="J421" s="1"/>
    </row>
    <row r="422" spans="1:10" ht="15">
      <c r="A422" s="1"/>
      <c r="B422" s="2"/>
      <c r="C422" s="3"/>
      <c r="D422" s="3"/>
      <c r="E422" s="3"/>
      <c r="F422" s="3"/>
      <c r="G422" s="4"/>
      <c r="H422" s="4"/>
      <c r="I422" s="4"/>
      <c r="J422" s="1"/>
    </row>
    <row r="423" spans="1:10" ht="15">
      <c r="A423" s="1"/>
      <c r="B423" s="2"/>
      <c r="C423" s="3"/>
      <c r="D423" s="3"/>
      <c r="E423" s="3"/>
      <c r="F423" s="3"/>
      <c r="G423" s="4"/>
      <c r="H423" s="4"/>
      <c r="I423" s="4"/>
      <c r="J423" s="1"/>
    </row>
  </sheetData>
  <mergeCells count="13">
    <mergeCell ref="B308:I311"/>
    <mergeCell ref="B2:B3"/>
    <mergeCell ref="C2:E3"/>
    <mergeCell ref="H2:I2"/>
    <mergeCell ref="G3:I3"/>
    <mergeCell ref="H4:I4"/>
    <mergeCell ref="B5:E5"/>
    <mergeCell ref="B43:H44"/>
    <mergeCell ref="B69:I72"/>
    <mergeCell ref="B128:I131"/>
    <mergeCell ref="B161:H164"/>
    <mergeCell ref="B177:I180"/>
    <mergeCell ref="B275:H276"/>
  </mergeCells>
  <hyperlinks>
    <hyperlink ref="B10" r:id="rId1" xr:uid="{00000000-0004-0000-0600-000000000000}"/>
    <hyperlink ref="B11" r:id="rId2" xr:uid="{00000000-0004-0000-0600-000001000000}"/>
    <hyperlink ref="B16" r:id="rId3" xr:uid="{00000000-0004-0000-0600-000002000000}"/>
    <hyperlink ref="B17" r:id="rId4" xr:uid="{00000000-0004-0000-0600-000003000000}"/>
    <hyperlink ref="B18" r:id="rId5" xr:uid="{00000000-0004-0000-0600-000004000000}"/>
    <hyperlink ref="B19" r:id="rId6" xr:uid="{00000000-0004-0000-0600-000005000000}"/>
    <hyperlink ref="B20" r:id="rId7" xr:uid="{00000000-0004-0000-0600-000006000000}"/>
    <hyperlink ref="B21" r:id="rId8" xr:uid="{00000000-0004-0000-0600-000007000000}"/>
    <hyperlink ref="B26" r:id="rId9" xr:uid="{00000000-0004-0000-0600-000008000000}"/>
    <hyperlink ref="B27" r:id="rId10" xr:uid="{00000000-0004-0000-0600-000009000000}"/>
    <hyperlink ref="B28" r:id="rId11" xr:uid="{00000000-0004-0000-0600-00000A000000}"/>
    <hyperlink ref="B33" r:id="rId12" xr:uid="{00000000-0004-0000-0600-00000B000000}"/>
    <hyperlink ref="B34" r:id="rId13" xr:uid="{00000000-0004-0000-0600-00000C000000}"/>
    <hyperlink ref="B39" r:id="rId14" xr:uid="{00000000-0004-0000-0600-00000D000000}"/>
    <hyperlink ref="B40" r:id="rId15" xr:uid="{00000000-0004-0000-0600-00000E000000}"/>
    <hyperlink ref="B47" r:id="rId16" xr:uid="{00000000-0004-0000-0600-00000F000000}"/>
    <hyperlink ref="B48" r:id="rId17" xr:uid="{00000000-0004-0000-0600-000010000000}"/>
    <hyperlink ref="B49" r:id="rId18" xr:uid="{00000000-0004-0000-0600-000011000000}"/>
    <hyperlink ref="B50" r:id="rId19" xr:uid="{00000000-0004-0000-0600-000012000000}"/>
    <hyperlink ref="D50" r:id="rId20" xr:uid="{00000000-0004-0000-0600-000013000000}"/>
    <hyperlink ref="B51" r:id="rId21" xr:uid="{00000000-0004-0000-0600-000014000000}"/>
    <hyperlink ref="D51" r:id="rId22" xr:uid="{00000000-0004-0000-0600-000015000000}"/>
    <hyperlink ref="B52" r:id="rId23" xr:uid="{00000000-0004-0000-0600-000016000000}"/>
    <hyperlink ref="B62" r:id="rId24" xr:uid="{00000000-0004-0000-0600-000017000000}"/>
    <hyperlink ref="B63" r:id="rId25" xr:uid="{00000000-0004-0000-0600-000018000000}"/>
    <hyperlink ref="B64" r:id="rId26" xr:uid="{00000000-0004-0000-0600-000019000000}"/>
    <hyperlink ref="B65" r:id="rId27" xr:uid="{00000000-0004-0000-0600-00001A000000}"/>
    <hyperlink ref="B75" r:id="rId28" xr:uid="{00000000-0004-0000-0600-00001B000000}"/>
    <hyperlink ref="B76" r:id="rId29" xr:uid="{00000000-0004-0000-0600-00001C000000}"/>
    <hyperlink ref="B77" r:id="rId30" xr:uid="{00000000-0004-0000-0600-00001D000000}"/>
    <hyperlink ref="B78" r:id="rId31" xr:uid="{00000000-0004-0000-0600-00001E000000}"/>
    <hyperlink ref="B79" r:id="rId32" xr:uid="{00000000-0004-0000-0600-00001F000000}"/>
    <hyperlink ref="B80" r:id="rId33" xr:uid="{00000000-0004-0000-0600-000020000000}"/>
    <hyperlink ref="B81" r:id="rId34" xr:uid="{00000000-0004-0000-0600-000021000000}"/>
    <hyperlink ref="B82" r:id="rId35" xr:uid="{00000000-0004-0000-0600-000022000000}"/>
    <hyperlink ref="B83" r:id="rId36" xr:uid="{00000000-0004-0000-0600-000023000000}"/>
    <hyperlink ref="B84" r:id="rId37" xr:uid="{00000000-0004-0000-0600-000024000000}"/>
    <hyperlink ref="B85" r:id="rId38" xr:uid="{00000000-0004-0000-0600-000025000000}"/>
    <hyperlink ref="B86" r:id="rId39" xr:uid="{00000000-0004-0000-0600-000026000000}"/>
    <hyperlink ref="B87" r:id="rId40" xr:uid="{00000000-0004-0000-0600-000027000000}"/>
    <hyperlink ref="B88" r:id="rId41" xr:uid="{00000000-0004-0000-0600-000028000000}"/>
    <hyperlink ref="B89" r:id="rId42" xr:uid="{00000000-0004-0000-0600-000029000000}"/>
    <hyperlink ref="B90" r:id="rId43" xr:uid="{00000000-0004-0000-0600-00002A000000}"/>
    <hyperlink ref="B91" r:id="rId44" xr:uid="{00000000-0004-0000-0600-00002B000000}"/>
    <hyperlink ref="B92" r:id="rId45" xr:uid="{00000000-0004-0000-0600-00002C000000}"/>
    <hyperlink ref="B93" r:id="rId46" xr:uid="{00000000-0004-0000-0600-00002D000000}"/>
    <hyperlink ref="B94" r:id="rId47" xr:uid="{00000000-0004-0000-0600-00002E000000}"/>
    <hyperlink ref="B95" r:id="rId48" xr:uid="{00000000-0004-0000-0600-00002F000000}"/>
    <hyperlink ref="B96" r:id="rId49" xr:uid="{00000000-0004-0000-0600-000030000000}"/>
    <hyperlink ref="B97" r:id="rId50" xr:uid="{00000000-0004-0000-0600-000031000000}"/>
    <hyperlink ref="B98" r:id="rId51" xr:uid="{00000000-0004-0000-0600-000032000000}"/>
    <hyperlink ref="B99" r:id="rId52" xr:uid="{00000000-0004-0000-0600-000033000000}"/>
    <hyperlink ref="B100" r:id="rId53" xr:uid="{00000000-0004-0000-0600-000034000000}"/>
    <hyperlink ref="B101" r:id="rId54" xr:uid="{00000000-0004-0000-0600-000035000000}"/>
    <hyperlink ref="B102" r:id="rId55" xr:uid="{00000000-0004-0000-0600-000036000000}"/>
    <hyperlink ref="B103" r:id="rId56" xr:uid="{00000000-0004-0000-0600-000037000000}"/>
    <hyperlink ref="B104" r:id="rId57" xr:uid="{00000000-0004-0000-0600-000038000000}"/>
    <hyperlink ref="B105" r:id="rId58" xr:uid="{00000000-0004-0000-0600-000039000000}"/>
    <hyperlink ref="B106" r:id="rId59" xr:uid="{00000000-0004-0000-0600-00003A000000}"/>
    <hyperlink ref="B107" r:id="rId60" xr:uid="{00000000-0004-0000-0600-00003B000000}"/>
    <hyperlink ref="B108" r:id="rId61" xr:uid="{00000000-0004-0000-0600-00003C000000}"/>
    <hyperlink ref="B109" r:id="rId62" xr:uid="{00000000-0004-0000-0600-00003D000000}"/>
    <hyperlink ref="B110" r:id="rId63" xr:uid="{00000000-0004-0000-0600-00003E000000}"/>
    <hyperlink ref="B111" r:id="rId64" xr:uid="{00000000-0004-0000-0600-00003F000000}"/>
    <hyperlink ref="B112" r:id="rId65" xr:uid="{00000000-0004-0000-0600-000040000000}"/>
    <hyperlink ref="B113" r:id="rId66" xr:uid="{00000000-0004-0000-0600-000041000000}"/>
    <hyperlink ref="B114" r:id="rId67" xr:uid="{00000000-0004-0000-0600-000042000000}"/>
    <hyperlink ref="B115" r:id="rId68" xr:uid="{00000000-0004-0000-0600-000043000000}"/>
    <hyperlink ref="B116" r:id="rId69" xr:uid="{00000000-0004-0000-0600-000044000000}"/>
    <hyperlink ref="B117" r:id="rId70" xr:uid="{00000000-0004-0000-0600-000045000000}"/>
    <hyperlink ref="B118" r:id="rId71" xr:uid="{00000000-0004-0000-0600-000046000000}"/>
    <hyperlink ref="B119" r:id="rId72" xr:uid="{00000000-0004-0000-0600-000047000000}"/>
    <hyperlink ref="B120" r:id="rId73" xr:uid="{00000000-0004-0000-0600-000048000000}"/>
    <hyperlink ref="B121" r:id="rId74" xr:uid="{00000000-0004-0000-0600-000049000000}"/>
    <hyperlink ref="B122" r:id="rId75" xr:uid="{00000000-0004-0000-0600-00004A000000}"/>
    <hyperlink ref="B134" r:id="rId76" xr:uid="{00000000-0004-0000-0600-00004B000000}"/>
    <hyperlink ref="B135" r:id="rId77" xr:uid="{00000000-0004-0000-0600-00004C000000}"/>
    <hyperlink ref="B136" r:id="rId78" xr:uid="{00000000-0004-0000-0600-00004D000000}"/>
    <hyperlink ref="B137" r:id="rId79" xr:uid="{00000000-0004-0000-0600-00004E000000}"/>
    <hyperlink ref="B138" r:id="rId80" xr:uid="{00000000-0004-0000-0600-00004F000000}"/>
    <hyperlink ref="B139" r:id="rId81" xr:uid="{00000000-0004-0000-0600-000050000000}"/>
    <hyperlink ref="B140" r:id="rId82" xr:uid="{00000000-0004-0000-0600-000051000000}"/>
    <hyperlink ref="B141" r:id="rId83" xr:uid="{00000000-0004-0000-0600-000052000000}"/>
    <hyperlink ref="B142" r:id="rId84" xr:uid="{00000000-0004-0000-0600-000053000000}"/>
    <hyperlink ref="B143" r:id="rId85" xr:uid="{00000000-0004-0000-0600-000054000000}"/>
    <hyperlink ref="B144" r:id="rId86" xr:uid="{00000000-0004-0000-0600-000055000000}"/>
    <hyperlink ref="B145" r:id="rId87" xr:uid="{00000000-0004-0000-0600-000056000000}"/>
    <hyperlink ref="B146" r:id="rId88" xr:uid="{00000000-0004-0000-0600-000057000000}"/>
    <hyperlink ref="B147" r:id="rId89" xr:uid="{00000000-0004-0000-0600-000058000000}"/>
    <hyperlink ref="B148" r:id="rId90" xr:uid="{00000000-0004-0000-0600-000059000000}"/>
    <hyperlink ref="B149" r:id="rId91" xr:uid="{00000000-0004-0000-0600-00005A000000}"/>
    <hyperlink ref="B150" r:id="rId92" xr:uid="{00000000-0004-0000-0600-00005B000000}"/>
    <hyperlink ref="B151" r:id="rId93" xr:uid="{00000000-0004-0000-0600-00005C000000}"/>
    <hyperlink ref="B152" r:id="rId94" xr:uid="{00000000-0004-0000-0600-00005D000000}"/>
    <hyperlink ref="B153" r:id="rId95" xr:uid="{00000000-0004-0000-0600-00005E000000}"/>
    <hyperlink ref="B154" r:id="rId96" xr:uid="{00000000-0004-0000-0600-00005F000000}"/>
    <hyperlink ref="B155" r:id="rId97" xr:uid="{00000000-0004-0000-0600-000060000000}"/>
    <hyperlink ref="B156" r:id="rId98" xr:uid="{00000000-0004-0000-0600-000061000000}"/>
    <hyperlink ref="B157" r:id="rId99" xr:uid="{00000000-0004-0000-0600-000062000000}"/>
    <hyperlink ref="B167" r:id="rId100" xr:uid="{00000000-0004-0000-0600-000063000000}"/>
    <hyperlink ref="B168" r:id="rId101" xr:uid="{00000000-0004-0000-0600-000064000000}"/>
    <hyperlink ref="B169" r:id="rId102" xr:uid="{00000000-0004-0000-0600-000065000000}"/>
    <hyperlink ref="B170" r:id="rId103" xr:uid="{00000000-0004-0000-0600-000066000000}"/>
    <hyperlink ref="B171" r:id="rId104" xr:uid="{00000000-0004-0000-0600-000067000000}"/>
    <hyperlink ref="B172" r:id="rId105" xr:uid="{00000000-0004-0000-0600-000068000000}"/>
    <hyperlink ref="B173" r:id="rId106" xr:uid="{00000000-0004-0000-0600-000069000000}"/>
    <hyperlink ref="B183" r:id="rId107" xr:uid="{00000000-0004-0000-0600-00006A000000}"/>
    <hyperlink ref="B184" r:id="rId108" xr:uid="{00000000-0004-0000-0600-00006B000000}"/>
    <hyperlink ref="B185" r:id="rId109" xr:uid="{00000000-0004-0000-0600-00006C000000}"/>
    <hyperlink ref="B186" r:id="rId110" xr:uid="{00000000-0004-0000-0600-00006D000000}"/>
    <hyperlink ref="B187" r:id="rId111" xr:uid="{00000000-0004-0000-0600-00006E000000}"/>
    <hyperlink ref="B188" r:id="rId112" xr:uid="{00000000-0004-0000-0600-00006F000000}"/>
    <hyperlink ref="B189" r:id="rId113" xr:uid="{00000000-0004-0000-0600-000070000000}"/>
    <hyperlink ref="B190" r:id="rId114" xr:uid="{00000000-0004-0000-0600-000071000000}"/>
    <hyperlink ref="B191" r:id="rId115" xr:uid="{00000000-0004-0000-0600-000072000000}"/>
    <hyperlink ref="B192" r:id="rId116" xr:uid="{00000000-0004-0000-0600-000073000000}"/>
    <hyperlink ref="B193" r:id="rId117" xr:uid="{00000000-0004-0000-0600-000074000000}"/>
    <hyperlink ref="B194" r:id="rId118" xr:uid="{00000000-0004-0000-0600-000075000000}"/>
    <hyperlink ref="B195" r:id="rId119" xr:uid="{00000000-0004-0000-0600-000076000000}"/>
    <hyperlink ref="B196" r:id="rId120" xr:uid="{00000000-0004-0000-0600-000077000000}"/>
    <hyperlink ref="B197" r:id="rId121" xr:uid="{00000000-0004-0000-0600-000078000000}"/>
    <hyperlink ref="B198" r:id="rId122" xr:uid="{00000000-0004-0000-0600-000079000000}"/>
    <hyperlink ref="B199" r:id="rId123" xr:uid="{00000000-0004-0000-0600-00007A000000}"/>
    <hyperlink ref="B200" r:id="rId124" xr:uid="{00000000-0004-0000-0600-00007B000000}"/>
    <hyperlink ref="B201" r:id="rId125" xr:uid="{00000000-0004-0000-0600-00007C000000}"/>
    <hyperlink ref="B202" r:id="rId126" xr:uid="{00000000-0004-0000-0600-00007D000000}"/>
    <hyperlink ref="B203" r:id="rId127" xr:uid="{00000000-0004-0000-0600-00007E000000}"/>
    <hyperlink ref="B204" r:id="rId128" xr:uid="{00000000-0004-0000-0600-00007F000000}"/>
    <hyperlink ref="B205" r:id="rId129" xr:uid="{00000000-0004-0000-0600-000080000000}"/>
    <hyperlink ref="B206" r:id="rId130" xr:uid="{00000000-0004-0000-0600-000081000000}"/>
    <hyperlink ref="B207" r:id="rId131" xr:uid="{00000000-0004-0000-0600-000082000000}"/>
    <hyperlink ref="B208" r:id="rId132" xr:uid="{00000000-0004-0000-0600-000083000000}"/>
    <hyperlink ref="B209" r:id="rId133" xr:uid="{00000000-0004-0000-0600-000084000000}"/>
    <hyperlink ref="B210" r:id="rId134" xr:uid="{00000000-0004-0000-0600-000085000000}"/>
    <hyperlink ref="B211" r:id="rId135" xr:uid="{00000000-0004-0000-0600-000086000000}"/>
    <hyperlink ref="B212" r:id="rId136" xr:uid="{00000000-0004-0000-0600-000087000000}"/>
    <hyperlink ref="B213" r:id="rId137" xr:uid="{00000000-0004-0000-0600-000088000000}"/>
    <hyperlink ref="B214" r:id="rId138" xr:uid="{00000000-0004-0000-0600-000089000000}"/>
    <hyperlink ref="B215" r:id="rId139" xr:uid="{00000000-0004-0000-0600-00008A000000}"/>
    <hyperlink ref="B216" r:id="rId140" xr:uid="{00000000-0004-0000-0600-00008B000000}"/>
    <hyperlink ref="B217" r:id="rId141" xr:uid="{00000000-0004-0000-0600-00008C000000}"/>
    <hyperlink ref="B218" r:id="rId142" xr:uid="{00000000-0004-0000-0600-00008D000000}"/>
    <hyperlink ref="B219" r:id="rId143" xr:uid="{00000000-0004-0000-0600-00008E000000}"/>
    <hyperlink ref="B220" r:id="rId144" xr:uid="{00000000-0004-0000-0600-00008F000000}"/>
    <hyperlink ref="B221" r:id="rId145" xr:uid="{00000000-0004-0000-0600-000090000000}"/>
    <hyperlink ref="B222" r:id="rId146" xr:uid="{00000000-0004-0000-0600-000091000000}"/>
    <hyperlink ref="B223" r:id="rId147" xr:uid="{00000000-0004-0000-0600-000092000000}"/>
    <hyperlink ref="B224" r:id="rId148" xr:uid="{00000000-0004-0000-0600-000093000000}"/>
    <hyperlink ref="B225" r:id="rId149" xr:uid="{00000000-0004-0000-0600-000094000000}"/>
    <hyperlink ref="B226" r:id="rId150" xr:uid="{00000000-0004-0000-0600-000095000000}"/>
    <hyperlink ref="B227" r:id="rId151" xr:uid="{00000000-0004-0000-0600-000096000000}"/>
    <hyperlink ref="B228" r:id="rId152" xr:uid="{00000000-0004-0000-0600-000097000000}"/>
    <hyperlink ref="B229" r:id="rId153" xr:uid="{00000000-0004-0000-0600-000098000000}"/>
    <hyperlink ref="B230" r:id="rId154" xr:uid="{00000000-0004-0000-0600-000099000000}"/>
    <hyperlink ref="B231" r:id="rId155" xr:uid="{00000000-0004-0000-0600-00009A000000}"/>
    <hyperlink ref="B232" r:id="rId156" xr:uid="{00000000-0004-0000-0600-00009B000000}"/>
    <hyperlink ref="B233" r:id="rId157" xr:uid="{00000000-0004-0000-0600-00009C000000}"/>
    <hyperlink ref="B234" r:id="rId158" xr:uid="{00000000-0004-0000-0600-00009D000000}"/>
    <hyperlink ref="B235" r:id="rId159" xr:uid="{00000000-0004-0000-0600-00009E000000}"/>
    <hyperlink ref="B236" r:id="rId160" xr:uid="{00000000-0004-0000-0600-00009F000000}"/>
    <hyperlink ref="B237" r:id="rId161" xr:uid="{00000000-0004-0000-0600-0000A0000000}"/>
    <hyperlink ref="B238" r:id="rId162" xr:uid="{00000000-0004-0000-0600-0000A1000000}"/>
    <hyperlink ref="B239" r:id="rId163" xr:uid="{00000000-0004-0000-0600-0000A2000000}"/>
    <hyperlink ref="B240" r:id="rId164" xr:uid="{00000000-0004-0000-0600-0000A3000000}"/>
    <hyperlink ref="B241" r:id="rId165" xr:uid="{00000000-0004-0000-0600-0000A4000000}"/>
    <hyperlink ref="B242" r:id="rId166" xr:uid="{00000000-0004-0000-0600-0000A5000000}"/>
    <hyperlink ref="B243" r:id="rId167" xr:uid="{00000000-0004-0000-0600-0000A6000000}"/>
    <hyperlink ref="B244" r:id="rId168" xr:uid="{00000000-0004-0000-0600-0000A7000000}"/>
    <hyperlink ref="B245" r:id="rId169" xr:uid="{00000000-0004-0000-0600-0000A8000000}"/>
    <hyperlink ref="B246" r:id="rId170" xr:uid="{00000000-0004-0000-0600-0000A9000000}"/>
    <hyperlink ref="B247" r:id="rId171" xr:uid="{00000000-0004-0000-0600-0000AA000000}"/>
    <hyperlink ref="B248" r:id="rId172" xr:uid="{00000000-0004-0000-0600-0000AB000000}"/>
    <hyperlink ref="B249" r:id="rId173" xr:uid="{00000000-0004-0000-0600-0000AC000000}"/>
    <hyperlink ref="B250" r:id="rId174" xr:uid="{00000000-0004-0000-0600-0000AD000000}"/>
    <hyperlink ref="B251" r:id="rId175" xr:uid="{00000000-0004-0000-0600-0000AE000000}"/>
    <hyperlink ref="B252" r:id="rId176" xr:uid="{00000000-0004-0000-0600-0000AF000000}"/>
    <hyperlink ref="B253" r:id="rId177" xr:uid="{00000000-0004-0000-0600-0000B0000000}"/>
    <hyperlink ref="B254" r:id="rId178" xr:uid="{00000000-0004-0000-0600-0000B1000000}"/>
    <hyperlink ref="B255" r:id="rId179" xr:uid="{00000000-0004-0000-0600-0000B2000000}"/>
    <hyperlink ref="B256" r:id="rId180" xr:uid="{00000000-0004-0000-0600-0000B3000000}"/>
    <hyperlink ref="B257" r:id="rId181" xr:uid="{00000000-0004-0000-0600-0000B4000000}"/>
    <hyperlink ref="B258" r:id="rId182" xr:uid="{00000000-0004-0000-0600-0000B5000000}"/>
    <hyperlink ref="B259" r:id="rId183" xr:uid="{00000000-0004-0000-0600-0000B6000000}"/>
    <hyperlink ref="B260" r:id="rId184" xr:uid="{00000000-0004-0000-0600-0000B7000000}"/>
    <hyperlink ref="B261" r:id="rId185" xr:uid="{00000000-0004-0000-0600-0000B8000000}"/>
    <hyperlink ref="B262" r:id="rId186" xr:uid="{00000000-0004-0000-0600-0000B9000000}"/>
    <hyperlink ref="B263" r:id="rId187" xr:uid="{00000000-0004-0000-0600-0000BA000000}"/>
    <hyperlink ref="B264" r:id="rId188" xr:uid="{00000000-0004-0000-0600-0000BB000000}"/>
    <hyperlink ref="B265" r:id="rId189" xr:uid="{00000000-0004-0000-0600-0000BC000000}"/>
    <hyperlink ref="B266" r:id="rId190" xr:uid="{00000000-0004-0000-0600-0000BD000000}"/>
    <hyperlink ref="B267" r:id="rId191" xr:uid="{00000000-0004-0000-0600-0000BE000000}"/>
    <hyperlink ref="B268" r:id="rId192" xr:uid="{00000000-0004-0000-0600-0000BF000000}"/>
    <hyperlink ref="B269" r:id="rId193" xr:uid="{00000000-0004-0000-0600-0000C0000000}"/>
    <hyperlink ref="B270" r:id="rId194" xr:uid="{00000000-0004-0000-0600-0000C1000000}"/>
    <hyperlink ref="B279" r:id="rId195" xr:uid="{00000000-0004-0000-0600-0000C2000000}"/>
    <hyperlink ref="B280" r:id="rId196" xr:uid="{00000000-0004-0000-0600-0000C3000000}"/>
    <hyperlink ref="B281" r:id="rId197" xr:uid="{00000000-0004-0000-0600-0000C4000000}"/>
    <hyperlink ref="B282" r:id="rId198" xr:uid="{00000000-0004-0000-0600-0000C5000000}"/>
    <hyperlink ref="B283" r:id="rId199" xr:uid="{00000000-0004-0000-0600-0000C6000000}"/>
    <hyperlink ref="D283" r:id="rId200" xr:uid="{00000000-0004-0000-0600-0000C7000000}"/>
    <hyperlink ref="B284" r:id="rId201" xr:uid="{00000000-0004-0000-0600-0000C8000000}"/>
    <hyperlink ref="B301" r:id="rId202" xr:uid="{00000000-0004-0000-0600-0000C9000000}"/>
    <hyperlink ref="B302" r:id="rId203" xr:uid="{00000000-0004-0000-0600-0000CA000000}"/>
    <hyperlink ref="B303" r:id="rId204" xr:uid="{00000000-0004-0000-0600-0000CB000000}"/>
    <hyperlink ref="B304" r:id="rId205" xr:uid="{00000000-0004-0000-0600-0000CC000000}"/>
    <hyperlink ref="B314" r:id="rId206" xr:uid="{00000000-0004-0000-0600-0000CD000000}"/>
    <hyperlink ref="B315" r:id="rId207" xr:uid="{00000000-0004-0000-0600-0000CE000000}"/>
    <hyperlink ref="B316" r:id="rId208" xr:uid="{00000000-0004-0000-0600-0000CF000000}"/>
    <hyperlink ref="B317" r:id="rId209" xr:uid="{00000000-0004-0000-0600-0000D0000000}"/>
    <hyperlink ref="B318" r:id="rId210" xr:uid="{00000000-0004-0000-0600-0000D1000000}"/>
    <hyperlink ref="B319" r:id="rId211" xr:uid="{00000000-0004-0000-0600-0000D2000000}"/>
    <hyperlink ref="B320" r:id="rId212" xr:uid="{00000000-0004-0000-0600-0000D3000000}"/>
    <hyperlink ref="B321" r:id="rId213" xr:uid="{00000000-0004-0000-0600-0000D4000000}"/>
    <hyperlink ref="B322" r:id="rId214" xr:uid="{00000000-0004-0000-0600-0000D5000000}"/>
    <hyperlink ref="B323" r:id="rId215" xr:uid="{00000000-0004-0000-0600-0000D6000000}"/>
    <hyperlink ref="B324" r:id="rId216" xr:uid="{00000000-0004-0000-0600-0000D7000000}"/>
    <hyperlink ref="B325" r:id="rId217" xr:uid="{00000000-0004-0000-0600-0000D8000000}"/>
    <hyperlink ref="B326" r:id="rId218" xr:uid="{00000000-0004-0000-0600-0000D9000000}"/>
    <hyperlink ref="B327" r:id="rId219" xr:uid="{00000000-0004-0000-0600-0000DA000000}"/>
    <hyperlink ref="B328" r:id="rId220" xr:uid="{00000000-0004-0000-0600-0000DB000000}"/>
    <hyperlink ref="B329" r:id="rId221" xr:uid="{00000000-0004-0000-0600-0000DC000000}"/>
    <hyperlink ref="B330" r:id="rId222" xr:uid="{00000000-0004-0000-0600-0000DD000000}"/>
    <hyperlink ref="B331" r:id="rId223" xr:uid="{00000000-0004-0000-0600-0000DE000000}"/>
    <hyperlink ref="B332" r:id="rId224" xr:uid="{00000000-0004-0000-0600-0000DF000000}"/>
    <hyperlink ref="B333" r:id="rId225" xr:uid="{00000000-0004-0000-0600-0000E0000000}"/>
    <hyperlink ref="B334" r:id="rId226" xr:uid="{00000000-0004-0000-0600-0000E1000000}"/>
    <hyperlink ref="B335" r:id="rId227" xr:uid="{00000000-0004-0000-0600-0000E2000000}"/>
    <hyperlink ref="B336" r:id="rId228" xr:uid="{00000000-0004-0000-0600-0000E3000000}"/>
    <hyperlink ref="B337" r:id="rId229" xr:uid="{00000000-0004-0000-0600-0000E4000000}"/>
    <hyperlink ref="B338" r:id="rId230" xr:uid="{00000000-0004-0000-0600-0000E5000000}"/>
    <hyperlink ref="B339" r:id="rId231" xr:uid="{00000000-0004-0000-0600-0000E6000000}"/>
    <hyperlink ref="B340" r:id="rId232" xr:uid="{00000000-0004-0000-0600-0000E7000000}"/>
    <hyperlink ref="B341" r:id="rId233" xr:uid="{00000000-0004-0000-0600-0000E8000000}"/>
    <hyperlink ref="B342" r:id="rId234" xr:uid="{00000000-0004-0000-0600-0000E9000000}"/>
    <hyperlink ref="B343" r:id="rId235" xr:uid="{00000000-0004-0000-0600-0000EA000000}"/>
    <hyperlink ref="B344" r:id="rId236" xr:uid="{00000000-0004-0000-0600-0000EB000000}"/>
    <hyperlink ref="B345" r:id="rId237" xr:uid="{00000000-0004-0000-0600-0000EC000000}"/>
    <hyperlink ref="B350" r:id="rId238" xr:uid="{00000000-0004-0000-0600-0000ED000000}"/>
    <hyperlink ref="B351" r:id="rId239" xr:uid="{00000000-0004-0000-0600-0000EE000000}"/>
    <hyperlink ref="B352" r:id="rId240" xr:uid="{00000000-0004-0000-0600-0000EF000000}"/>
    <hyperlink ref="B353" r:id="rId241" xr:uid="{00000000-0004-0000-0600-0000F0000000}"/>
    <hyperlink ref="B354" r:id="rId242" xr:uid="{00000000-0004-0000-0600-0000F1000000}"/>
    <hyperlink ref="B355" r:id="rId243" xr:uid="{00000000-0004-0000-0600-0000F2000000}"/>
    <hyperlink ref="B356" r:id="rId244" xr:uid="{00000000-0004-0000-0600-0000F3000000}"/>
    <hyperlink ref="B357" r:id="rId245" xr:uid="{00000000-0004-0000-0600-0000F4000000}"/>
    <hyperlink ref="B358" r:id="rId246" xr:uid="{00000000-0004-0000-0600-0000F5000000}"/>
    <hyperlink ref="B359" r:id="rId247" xr:uid="{00000000-0004-0000-0600-0000F6000000}"/>
    <hyperlink ref="B360" r:id="rId248" xr:uid="{00000000-0004-0000-0600-0000F7000000}"/>
    <hyperlink ref="B361" r:id="rId249" xr:uid="{00000000-0004-0000-0600-0000F8000000}"/>
    <hyperlink ref="B362" r:id="rId250" xr:uid="{00000000-0004-0000-0600-0000F9000000}"/>
    <hyperlink ref="B363" r:id="rId251" xr:uid="{00000000-0004-0000-0600-0000FA000000}"/>
    <hyperlink ref="B364" r:id="rId252" xr:uid="{00000000-0004-0000-0600-0000FB000000}"/>
    <hyperlink ref="B365" r:id="rId253" xr:uid="{00000000-0004-0000-0600-0000FC000000}"/>
    <hyperlink ref="B372" r:id="rId254" xr:uid="{00000000-0004-0000-0600-0000FD000000}"/>
    <hyperlink ref="B379" r:id="rId255" xr:uid="{00000000-0004-0000-0600-0000FE000000}"/>
    <hyperlink ref="B380" r:id="rId256" xr:uid="{00000000-0004-0000-0600-0000FF000000}"/>
    <hyperlink ref="B381" r:id="rId257" xr:uid="{00000000-0004-0000-0600-000000010000}"/>
    <hyperlink ref="B382" r:id="rId258" xr:uid="{00000000-0004-0000-0600-000001010000}"/>
    <hyperlink ref="B383" r:id="rId259" xr:uid="{00000000-0004-0000-0600-000002010000}"/>
    <hyperlink ref="B384" r:id="rId260" xr:uid="{00000000-0004-0000-0600-000003010000}"/>
    <hyperlink ref="B385" r:id="rId261" xr:uid="{00000000-0004-0000-0600-000004010000}"/>
    <hyperlink ref="B386" r:id="rId262" xr:uid="{00000000-0004-0000-0600-000005010000}"/>
    <hyperlink ref="B387" r:id="rId263" xr:uid="{00000000-0004-0000-0600-000006010000}"/>
    <hyperlink ref="B388" r:id="rId264" xr:uid="{00000000-0004-0000-0600-000007010000}"/>
    <hyperlink ref="B389" r:id="rId265" xr:uid="{00000000-0004-0000-0600-000008010000}"/>
    <hyperlink ref="B390" r:id="rId266" xr:uid="{00000000-0004-0000-0600-000009010000}"/>
    <hyperlink ref="B391" r:id="rId267" xr:uid="{00000000-0004-0000-0600-00000A010000}"/>
    <hyperlink ref="B392" r:id="rId268" xr:uid="{00000000-0004-0000-0600-00000B010000}"/>
    <hyperlink ref="B393" r:id="rId269" xr:uid="{00000000-0004-0000-0600-00000C010000}"/>
    <hyperlink ref="B394" r:id="rId270" xr:uid="{00000000-0004-0000-0600-00000D010000}"/>
    <hyperlink ref="B395" r:id="rId271" xr:uid="{00000000-0004-0000-0600-00000E010000}"/>
    <hyperlink ref="B396" r:id="rId272" xr:uid="{00000000-0004-0000-0600-00000F010000}"/>
    <hyperlink ref="B397" r:id="rId273" xr:uid="{00000000-0004-0000-0600-000010010000}"/>
    <hyperlink ref="B398" r:id="rId274" xr:uid="{00000000-0004-0000-0600-000011010000}"/>
    <hyperlink ref="B399" r:id="rId275" xr:uid="{00000000-0004-0000-0600-000012010000}"/>
    <hyperlink ref="B400" r:id="rId276" xr:uid="{00000000-0004-0000-0600-000013010000}"/>
    <hyperlink ref="B401" r:id="rId277" xr:uid="{00000000-0004-0000-0600-000014010000}"/>
    <hyperlink ref="B402" r:id="rId278" xr:uid="{00000000-0004-0000-0600-000015010000}"/>
    <hyperlink ref="B403" r:id="rId279" xr:uid="{00000000-0004-0000-0600-000016010000}"/>
    <hyperlink ref="B404" r:id="rId280" xr:uid="{00000000-0004-0000-0600-000017010000}"/>
    <hyperlink ref="B409" r:id="rId281" xr:uid="{00000000-0004-0000-0600-000018010000}"/>
  </hyperlinks>
  <pageMargins left="0.7" right="0.7" top="0.75" bottom="0.75" header="0.3" footer="0.3"/>
  <drawing r:id="rId28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44"/>
  <sheetViews>
    <sheetView workbookViewId="0">
      <selection activeCell="B5" sqref="B5:G5"/>
    </sheetView>
  </sheetViews>
  <sheetFormatPr baseColWidth="10" defaultColWidth="12.5703125" defaultRowHeight="15.75" customHeight="1"/>
  <cols>
    <col min="1" max="1" width="18.42578125" customWidth="1"/>
    <col min="3" max="3" width="14.42578125" customWidth="1"/>
    <col min="7" max="7" width="16" customWidth="1"/>
    <col min="8" max="8" width="13" customWidth="1"/>
    <col min="9" max="9" width="12.42578125" customWidth="1"/>
    <col min="10" max="10" width="21" customWidth="1"/>
  </cols>
  <sheetData>
    <row r="1" spans="1:10" ht="15.75" customHeight="1">
      <c r="A1" s="1"/>
      <c r="B1" s="2"/>
      <c r="C1" s="3"/>
      <c r="D1" s="3"/>
      <c r="E1" s="3"/>
      <c r="F1" s="4"/>
      <c r="G1" s="4"/>
      <c r="H1" s="4"/>
      <c r="I1" s="4"/>
      <c r="J1" s="3"/>
    </row>
    <row r="2" spans="1:10" ht="15.75" customHeight="1">
      <c r="A2" s="1"/>
      <c r="B2" s="294"/>
      <c r="C2" s="296" t="s">
        <v>0</v>
      </c>
      <c r="D2" s="297"/>
      <c r="E2" s="298"/>
      <c r="F2" s="12"/>
      <c r="G2" s="12"/>
      <c r="H2" s="12"/>
      <c r="I2" s="12"/>
      <c r="J2" s="12"/>
    </row>
    <row r="3" spans="1:10" ht="15.75" customHeight="1">
      <c r="A3" s="1"/>
      <c r="B3" s="295"/>
      <c r="C3" s="299"/>
      <c r="D3" s="300"/>
      <c r="E3" s="301"/>
      <c r="F3" s="7"/>
      <c r="H3" s="302"/>
      <c r="I3" s="303"/>
      <c r="J3" s="3"/>
    </row>
    <row r="4" spans="1:10" ht="15.75" customHeight="1">
      <c r="A4" s="1"/>
      <c r="B4" s="2"/>
      <c r="C4" s="3"/>
      <c r="D4" s="3"/>
      <c r="E4" s="3"/>
      <c r="F4" s="3"/>
      <c r="G4" s="3"/>
      <c r="H4" s="304"/>
      <c r="I4" s="303"/>
      <c r="J4" s="3"/>
    </row>
    <row r="5" spans="1:10" ht="15.75" customHeight="1">
      <c r="A5" s="2"/>
      <c r="B5" s="305" t="s">
        <v>1208</v>
      </c>
      <c r="C5" s="306"/>
      <c r="D5" s="306"/>
      <c r="E5" s="306"/>
      <c r="F5" s="306"/>
      <c r="G5" s="303"/>
      <c r="H5" s="10"/>
      <c r="I5" s="10"/>
      <c r="J5" s="9"/>
    </row>
    <row r="6" spans="1:10" ht="15.75" customHeight="1">
      <c r="A6" s="2"/>
      <c r="B6" s="12"/>
      <c r="C6" s="12"/>
      <c r="D6" s="12"/>
      <c r="E6" s="12"/>
      <c r="F6" s="12"/>
      <c r="G6" s="12"/>
      <c r="H6" s="12"/>
      <c r="I6" s="12"/>
      <c r="J6" s="12"/>
    </row>
    <row r="7" spans="1:10" ht="15.75" customHeight="1">
      <c r="A7" s="2"/>
      <c r="B7" s="307" t="s">
        <v>1122</v>
      </c>
      <c r="C7" s="297"/>
      <c r="D7" s="297"/>
      <c r="E7" s="297"/>
      <c r="F7" s="297"/>
      <c r="G7" s="297"/>
      <c r="H7" s="297"/>
      <c r="I7" s="298"/>
      <c r="J7" s="12"/>
    </row>
    <row r="8" spans="1:10" ht="15.75" customHeight="1">
      <c r="A8" s="2"/>
      <c r="B8" s="299"/>
      <c r="C8" s="300"/>
      <c r="D8" s="300"/>
      <c r="E8" s="300"/>
      <c r="F8" s="300"/>
      <c r="G8" s="300"/>
      <c r="H8" s="300"/>
      <c r="I8" s="301"/>
      <c r="J8" s="12"/>
    </row>
    <row r="9" spans="1:10" ht="15.75" customHeight="1">
      <c r="A9" s="2"/>
      <c r="B9" s="311" t="s">
        <v>1123</v>
      </c>
      <c r="C9" s="306"/>
      <c r="D9" s="306"/>
      <c r="E9" s="306"/>
      <c r="F9" s="306"/>
      <c r="G9" s="306"/>
      <c r="H9" s="306"/>
      <c r="I9" s="303"/>
      <c r="J9" s="12"/>
    </row>
    <row r="10" spans="1:10" ht="15.75" customHeight="1">
      <c r="A10" s="2"/>
      <c r="B10" s="12"/>
      <c r="C10" s="12"/>
      <c r="D10" s="12"/>
      <c r="E10" s="12"/>
      <c r="F10" s="12"/>
      <c r="G10" s="12"/>
      <c r="H10" s="12"/>
      <c r="I10" s="12"/>
      <c r="J10" s="12"/>
    </row>
    <row r="11" spans="1:10" ht="15.75" customHeight="1">
      <c r="A11" s="2"/>
      <c r="B11" s="275" t="s">
        <v>1124</v>
      </c>
      <c r="C11" s="12"/>
      <c r="D11" s="12"/>
      <c r="E11" s="12"/>
      <c r="F11" s="12"/>
      <c r="G11" s="12"/>
      <c r="H11" s="12"/>
      <c r="I11" s="12"/>
      <c r="J11" s="12"/>
    </row>
    <row r="12" spans="1:10" ht="15">
      <c r="A12" s="13"/>
      <c r="B12" s="13"/>
      <c r="C12" s="13"/>
      <c r="D12" s="13"/>
      <c r="E12" s="13"/>
      <c r="F12" s="13"/>
      <c r="G12" s="13"/>
      <c r="H12" s="13"/>
      <c r="I12" s="13"/>
      <c r="J12" s="12"/>
    </row>
    <row r="13" spans="1:10" ht="15.75" customHeight="1">
      <c r="A13" s="13"/>
      <c r="B13" s="44" t="s">
        <v>13</v>
      </c>
      <c r="C13" s="312" t="s">
        <v>1125</v>
      </c>
      <c r="D13" s="297"/>
      <c r="E13" s="297"/>
      <c r="F13" s="298"/>
      <c r="G13" s="276" t="s">
        <v>1126</v>
      </c>
      <c r="H13" s="308" t="s">
        <v>11</v>
      </c>
      <c r="I13" s="298"/>
      <c r="J13" s="12"/>
    </row>
    <row r="14" spans="1:10" ht="15.75" customHeight="1">
      <c r="A14" s="22"/>
      <c r="B14" s="277" t="s">
        <v>13</v>
      </c>
      <c r="C14" s="313" t="s">
        <v>1127</v>
      </c>
      <c r="D14" s="314"/>
      <c r="E14" s="314"/>
      <c r="F14" s="314"/>
      <c r="G14" s="278" t="s">
        <v>1128</v>
      </c>
      <c r="H14" s="315">
        <v>3.5</v>
      </c>
      <c r="I14" s="316"/>
      <c r="J14" s="168"/>
    </row>
    <row r="15" spans="1:10" ht="12.75">
      <c r="A15" s="104"/>
      <c r="B15" s="104"/>
      <c r="C15" s="279"/>
      <c r="D15" s="279"/>
      <c r="E15" s="279"/>
      <c r="F15" s="279"/>
      <c r="G15" s="279"/>
      <c r="H15" s="280"/>
      <c r="I15" s="280"/>
      <c r="J15" s="106"/>
    </row>
    <row r="16" spans="1:10" ht="15.75" customHeight="1">
      <c r="A16" s="104"/>
      <c r="B16" s="14" t="s">
        <v>1129</v>
      </c>
      <c r="C16" s="13"/>
      <c r="D16" s="13"/>
      <c r="E16" s="13"/>
      <c r="F16" s="13"/>
      <c r="G16" s="13"/>
      <c r="H16" s="106"/>
      <c r="I16" s="106"/>
      <c r="J16" s="106"/>
    </row>
    <row r="17" spans="1:10" ht="12.75">
      <c r="A17" s="104"/>
      <c r="B17" s="281"/>
      <c r="C17" s="13"/>
      <c r="D17" s="13"/>
      <c r="E17" s="13"/>
      <c r="F17" s="13"/>
      <c r="G17" s="13"/>
      <c r="H17" s="106"/>
      <c r="I17" s="106"/>
      <c r="J17" s="106"/>
    </row>
    <row r="18" spans="1:10" ht="12.75">
      <c r="A18" s="104"/>
      <c r="B18" s="282" t="s">
        <v>1130</v>
      </c>
      <c r="C18" s="13"/>
      <c r="D18" s="13"/>
      <c r="E18" s="13"/>
      <c r="F18" s="13"/>
      <c r="G18" s="13"/>
      <c r="H18" s="106"/>
      <c r="I18" s="106"/>
      <c r="J18" s="106"/>
    </row>
    <row r="19" spans="1:10" ht="15.75" customHeight="1">
      <c r="A19" s="104"/>
      <c r="B19" s="44" t="s">
        <v>13</v>
      </c>
      <c r="C19" s="312" t="s">
        <v>1125</v>
      </c>
      <c r="D19" s="297"/>
      <c r="E19" s="297"/>
      <c r="F19" s="298"/>
      <c r="G19" s="276" t="s">
        <v>1126</v>
      </c>
      <c r="H19" s="308" t="s">
        <v>11</v>
      </c>
      <c r="I19" s="298"/>
      <c r="J19" s="106"/>
    </row>
    <row r="20" spans="1:10" ht="15.75" customHeight="1">
      <c r="A20" s="104"/>
      <c r="B20" s="242" t="s">
        <v>13</v>
      </c>
      <c r="C20" s="317" t="s">
        <v>1131</v>
      </c>
      <c r="D20" s="318"/>
      <c r="E20" s="318"/>
      <c r="F20" s="310"/>
      <c r="G20" s="278" t="s">
        <v>1128</v>
      </c>
      <c r="H20" s="309">
        <v>1.944</v>
      </c>
      <c r="I20" s="310"/>
      <c r="J20" s="283"/>
    </row>
    <row r="21" spans="1:10" ht="15.75" customHeight="1">
      <c r="A21" s="104"/>
      <c r="B21" s="242" t="s">
        <v>13</v>
      </c>
      <c r="C21" s="317" t="s">
        <v>1132</v>
      </c>
      <c r="D21" s="318"/>
      <c r="E21" s="318"/>
      <c r="F21" s="310"/>
      <c r="G21" s="278" t="s">
        <v>1128</v>
      </c>
      <c r="H21" s="309">
        <v>5.26</v>
      </c>
      <c r="I21" s="310"/>
      <c r="J21" s="283"/>
    </row>
    <row r="22" spans="1:10" ht="15.75" customHeight="1">
      <c r="A22" s="104"/>
      <c r="B22" s="242" t="s">
        <v>13</v>
      </c>
      <c r="C22" s="317" t="s">
        <v>1133</v>
      </c>
      <c r="D22" s="318"/>
      <c r="E22" s="318"/>
      <c r="F22" s="310"/>
      <c r="G22" s="278" t="s">
        <v>1128</v>
      </c>
      <c r="H22" s="309">
        <v>2.5099999999999998</v>
      </c>
      <c r="I22" s="310"/>
      <c r="J22" s="283"/>
    </row>
    <row r="23" spans="1:10" ht="15.75" customHeight="1">
      <c r="A23" s="104"/>
      <c r="B23" s="242" t="s">
        <v>13</v>
      </c>
      <c r="C23" s="319" t="s">
        <v>1134</v>
      </c>
      <c r="D23" s="320"/>
      <c r="E23" s="320"/>
      <c r="F23" s="321"/>
      <c r="G23" s="278" t="s">
        <v>1128</v>
      </c>
      <c r="H23" s="309">
        <v>6.82</v>
      </c>
      <c r="I23" s="310"/>
      <c r="J23" s="283"/>
    </row>
    <row r="24" spans="1:10" ht="12.75">
      <c r="A24" s="104"/>
      <c r="B24" s="219"/>
      <c r="C24" s="219"/>
      <c r="D24" s="219"/>
      <c r="E24" s="219"/>
      <c r="F24" s="219"/>
      <c r="G24" s="219"/>
      <c r="H24" s="283"/>
      <c r="I24" s="283"/>
      <c r="J24" s="283"/>
    </row>
    <row r="25" spans="1:10" ht="12.75">
      <c r="A25" s="104"/>
      <c r="B25" s="284" t="s">
        <v>1135</v>
      </c>
      <c r="C25" s="13"/>
      <c r="D25" s="13"/>
      <c r="E25" s="13"/>
      <c r="F25" s="13"/>
      <c r="G25" s="49"/>
      <c r="H25" s="283"/>
      <c r="I25" s="283"/>
      <c r="J25" s="283"/>
    </row>
    <row r="26" spans="1:10" ht="15.75" customHeight="1">
      <c r="A26" s="104"/>
      <c r="B26" s="44" t="s">
        <v>13</v>
      </c>
      <c r="C26" s="312" t="s">
        <v>1125</v>
      </c>
      <c r="D26" s="297"/>
      <c r="E26" s="297"/>
      <c r="F26" s="298"/>
      <c r="G26" s="276" t="s">
        <v>1126</v>
      </c>
      <c r="H26" s="308" t="s">
        <v>11</v>
      </c>
      <c r="I26" s="298"/>
      <c r="J26" s="283"/>
    </row>
    <row r="27" spans="1:10" ht="15.75" customHeight="1">
      <c r="A27" s="104"/>
      <c r="B27" s="242" t="s">
        <v>13</v>
      </c>
      <c r="C27" s="317" t="s">
        <v>1136</v>
      </c>
      <c r="D27" s="318"/>
      <c r="E27" s="318"/>
      <c r="F27" s="310"/>
      <c r="G27" s="278" t="s">
        <v>1128</v>
      </c>
      <c r="H27" s="325">
        <v>3.09</v>
      </c>
      <c r="I27" s="310"/>
      <c r="J27" s="283"/>
    </row>
    <row r="28" spans="1:10" ht="15.75" customHeight="1">
      <c r="A28" s="104"/>
      <c r="B28" s="242" t="s">
        <v>13</v>
      </c>
      <c r="C28" s="317" t="s">
        <v>1137</v>
      </c>
      <c r="D28" s="318"/>
      <c r="E28" s="318"/>
      <c r="F28" s="310"/>
      <c r="G28" s="278" t="s">
        <v>1128</v>
      </c>
      <c r="H28" s="309">
        <v>8.34</v>
      </c>
      <c r="I28" s="310"/>
      <c r="J28" s="283"/>
    </row>
    <row r="29" spans="1:10" ht="15.75" customHeight="1">
      <c r="A29" s="104"/>
      <c r="B29" s="242" t="s">
        <v>13</v>
      </c>
      <c r="C29" s="317" t="s">
        <v>1138</v>
      </c>
      <c r="D29" s="318"/>
      <c r="E29" s="318"/>
      <c r="F29" s="310"/>
      <c r="G29" s="278" t="s">
        <v>1128</v>
      </c>
      <c r="H29" s="309">
        <v>3.996</v>
      </c>
      <c r="I29" s="310"/>
      <c r="J29" s="283"/>
    </row>
    <row r="30" spans="1:10" ht="15.75" customHeight="1">
      <c r="A30" s="104"/>
      <c r="B30" s="242" t="s">
        <v>13</v>
      </c>
      <c r="C30" s="319" t="s">
        <v>1139</v>
      </c>
      <c r="D30" s="320"/>
      <c r="E30" s="320"/>
      <c r="F30" s="321"/>
      <c r="G30" s="278" t="s">
        <v>1128</v>
      </c>
      <c r="H30" s="309">
        <v>10.83</v>
      </c>
      <c r="I30" s="310"/>
      <c r="J30" s="283"/>
    </row>
    <row r="31" spans="1:10" ht="12.75">
      <c r="A31" s="104"/>
      <c r="B31" s="219"/>
      <c r="C31" s="219"/>
      <c r="D31" s="219"/>
      <c r="E31" s="219"/>
      <c r="F31" s="219"/>
      <c r="G31" s="219"/>
      <c r="H31" s="283"/>
      <c r="I31" s="283"/>
      <c r="J31" s="283"/>
    </row>
    <row r="32" spans="1:10" ht="12.75">
      <c r="A32" s="104"/>
      <c r="B32" s="284" t="s">
        <v>1140</v>
      </c>
      <c r="C32" s="286"/>
      <c r="D32" s="286"/>
      <c r="E32" s="286"/>
      <c r="F32" s="286"/>
      <c r="G32" s="286"/>
      <c r="H32" s="283"/>
      <c r="I32" s="283"/>
      <c r="J32" s="283"/>
    </row>
    <row r="33" spans="1:10" ht="15.75" customHeight="1">
      <c r="A33" s="104"/>
      <c r="B33" s="44" t="s">
        <v>13</v>
      </c>
      <c r="C33" s="312" t="s">
        <v>1125</v>
      </c>
      <c r="D33" s="297"/>
      <c r="E33" s="297"/>
      <c r="F33" s="298"/>
      <c r="G33" s="276" t="s">
        <v>1126</v>
      </c>
      <c r="H33" s="308" t="s">
        <v>11</v>
      </c>
      <c r="I33" s="298"/>
      <c r="J33" s="283"/>
    </row>
    <row r="34" spans="1:10" ht="15.75" customHeight="1">
      <c r="A34" s="104"/>
      <c r="B34" s="242" t="s">
        <v>13</v>
      </c>
      <c r="C34" s="317" t="s">
        <v>1141</v>
      </c>
      <c r="D34" s="318"/>
      <c r="E34" s="318"/>
      <c r="F34" s="310"/>
      <c r="G34" s="278" t="s">
        <v>1128</v>
      </c>
      <c r="H34" s="309">
        <v>4.3440000000000003</v>
      </c>
      <c r="I34" s="310"/>
      <c r="J34" s="283"/>
    </row>
    <row r="35" spans="1:10" ht="15.75" customHeight="1">
      <c r="A35" s="104"/>
      <c r="B35" s="242" t="s">
        <v>13</v>
      </c>
      <c r="C35" s="317" t="s">
        <v>1142</v>
      </c>
      <c r="D35" s="318"/>
      <c r="E35" s="318"/>
      <c r="F35" s="310"/>
      <c r="G35" s="278" t="s">
        <v>1128</v>
      </c>
      <c r="H35" s="309">
        <v>11.77</v>
      </c>
      <c r="I35" s="310"/>
      <c r="J35" s="283"/>
    </row>
    <row r="36" spans="1:10" ht="15.75" customHeight="1">
      <c r="A36" s="104"/>
      <c r="B36" s="242" t="s">
        <v>13</v>
      </c>
      <c r="C36" s="317" t="s">
        <v>1143</v>
      </c>
      <c r="D36" s="318"/>
      <c r="E36" s="318"/>
      <c r="F36" s="310"/>
      <c r="G36" s="278" t="s">
        <v>1128</v>
      </c>
      <c r="H36" s="309">
        <v>5.6040000000000001</v>
      </c>
      <c r="I36" s="310"/>
      <c r="J36" s="283"/>
    </row>
    <row r="37" spans="1:10" ht="15.75" customHeight="1">
      <c r="A37" s="104"/>
      <c r="B37" s="242" t="s">
        <v>13</v>
      </c>
      <c r="C37" s="319" t="s">
        <v>1144</v>
      </c>
      <c r="D37" s="320"/>
      <c r="E37" s="320"/>
      <c r="F37" s="321"/>
      <c r="G37" s="278" t="s">
        <v>1128</v>
      </c>
      <c r="H37" s="309">
        <v>15.25</v>
      </c>
      <c r="I37" s="310"/>
      <c r="J37" s="283"/>
    </row>
    <row r="38" spans="1:10" ht="12.75">
      <c r="A38" s="104"/>
      <c r="B38" s="104"/>
      <c r="C38" s="105"/>
      <c r="D38" s="105"/>
      <c r="E38" s="105"/>
      <c r="F38" s="105"/>
      <c r="G38" s="279"/>
      <c r="H38" s="280"/>
      <c r="I38" s="280"/>
      <c r="J38" s="106"/>
    </row>
    <row r="39" spans="1:10" ht="15.75" customHeight="1">
      <c r="A39" s="104"/>
      <c r="B39" s="14" t="s">
        <v>1145</v>
      </c>
      <c r="C39" s="13"/>
      <c r="D39" s="13"/>
      <c r="E39" s="13"/>
      <c r="F39" s="13"/>
      <c r="G39" s="13"/>
      <c r="H39" s="13"/>
      <c r="I39" s="106"/>
      <c r="J39" s="106"/>
    </row>
    <row r="40" spans="1:10" ht="12.75">
      <c r="A40" s="104"/>
      <c r="B40" s="13"/>
      <c r="C40" s="13"/>
      <c r="D40" s="13"/>
      <c r="E40" s="13"/>
      <c r="F40" s="13"/>
      <c r="G40" s="13"/>
      <c r="H40" s="13"/>
      <c r="I40" s="106"/>
      <c r="J40" s="106"/>
    </row>
    <row r="41" spans="1:10" ht="15.75" customHeight="1">
      <c r="A41" s="104"/>
      <c r="B41" s="44" t="s">
        <v>13</v>
      </c>
      <c r="C41" s="312" t="s">
        <v>1125</v>
      </c>
      <c r="D41" s="297"/>
      <c r="E41" s="297"/>
      <c r="F41" s="298"/>
      <c r="G41" s="276" t="s">
        <v>1126</v>
      </c>
      <c r="H41" s="322" t="s">
        <v>11</v>
      </c>
      <c r="I41" s="298"/>
      <c r="J41" s="106"/>
    </row>
    <row r="42" spans="1:10" ht="15.75" customHeight="1">
      <c r="A42" s="104"/>
      <c r="B42" s="242" t="s">
        <v>13</v>
      </c>
      <c r="C42" s="323" t="s">
        <v>1146</v>
      </c>
      <c r="D42" s="318"/>
      <c r="E42" s="318"/>
      <c r="F42" s="310"/>
      <c r="G42" s="278" t="s">
        <v>1147</v>
      </c>
      <c r="H42" s="324">
        <v>3.9</v>
      </c>
      <c r="I42" s="316"/>
      <c r="J42" s="283"/>
    </row>
    <row r="43" spans="1:10" ht="12.75">
      <c r="A43" s="104"/>
      <c r="B43" s="104"/>
      <c r="C43" s="105"/>
      <c r="D43" s="105"/>
      <c r="E43" s="105"/>
      <c r="F43" s="105"/>
      <c r="G43" s="105"/>
      <c r="H43" s="280"/>
      <c r="I43" s="280"/>
      <c r="J43" s="106"/>
    </row>
    <row r="44" spans="1:10" ht="12.75">
      <c r="A44" s="104"/>
      <c r="B44" s="104"/>
      <c r="C44" s="105"/>
      <c r="D44" s="105"/>
      <c r="E44" s="105"/>
      <c r="F44" s="105"/>
      <c r="G44" s="105"/>
      <c r="H44" s="106"/>
      <c r="I44" s="106"/>
      <c r="J44" s="106"/>
    </row>
  </sheetData>
  <mergeCells count="45">
    <mergeCell ref="H42:I42"/>
    <mergeCell ref="H27:I27"/>
    <mergeCell ref="H28:I28"/>
    <mergeCell ref="H29:I29"/>
    <mergeCell ref="H30:I30"/>
    <mergeCell ref="H33:I33"/>
    <mergeCell ref="H34:I34"/>
    <mergeCell ref="H35:I35"/>
    <mergeCell ref="C42:F42"/>
    <mergeCell ref="C26:F26"/>
    <mergeCell ref="C27:F27"/>
    <mergeCell ref="C28:F28"/>
    <mergeCell ref="C29:F29"/>
    <mergeCell ref="C30:F30"/>
    <mergeCell ref="C33:F33"/>
    <mergeCell ref="C34:F34"/>
    <mergeCell ref="H26:I26"/>
    <mergeCell ref="C35:F35"/>
    <mergeCell ref="C36:F36"/>
    <mergeCell ref="C37:F37"/>
    <mergeCell ref="C41:F41"/>
    <mergeCell ref="H36:I36"/>
    <mergeCell ref="H37:I37"/>
    <mergeCell ref="H41:I41"/>
    <mergeCell ref="C21:F21"/>
    <mergeCell ref="H21:I21"/>
    <mergeCell ref="C22:F22"/>
    <mergeCell ref="H22:I22"/>
    <mergeCell ref="C23:F23"/>
    <mergeCell ref="H23:I23"/>
    <mergeCell ref="B7:I8"/>
    <mergeCell ref="H19:I19"/>
    <mergeCell ref="H20:I20"/>
    <mergeCell ref="B9:I9"/>
    <mergeCell ref="C13:F13"/>
    <mergeCell ref="H13:I13"/>
    <mergeCell ref="C14:F14"/>
    <mergeCell ref="H14:I14"/>
    <mergeCell ref="C19:F19"/>
    <mergeCell ref="C20:F20"/>
    <mergeCell ref="B2:B3"/>
    <mergeCell ref="C2:E3"/>
    <mergeCell ref="H3:I3"/>
    <mergeCell ref="H4:I4"/>
    <mergeCell ref="B5:G5"/>
  </mergeCells>
  <hyperlinks>
    <hyperlink ref="B14" r:id="rId1" xr:uid="{00000000-0004-0000-0700-000000000000}"/>
    <hyperlink ref="B20" r:id="rId2" xr:uid="{00000000-0004-0000-0700-000001000000}"/>
    <hyperlink ref="B21" r:id="rId3" xr:uid="{00000000-0004-0000-0700-000002000000}"/>
    <hyperlink ref="B22" r:id="rId4" xr:uid="{00000000-0004-0000-0700-000003000000}"/>
    <hyperlink ref="B23" r:id="rId5" xr:uid="{00000000-0004-0000-0700-000004000000}"/>
    <hyperlink ref="B27" r:id="rId6" xr:uid="{00000000-0004-0000-0700-000005000000}"/>
    <hyperlink ref="B28" r:id="rId7" xr:uid="{00000000-0004-0000-0700-000006000000}"/>
    <hyperlink ref="B29" r:id="rId8" xr:uid="{00000000-0004-0000-0700-000007000000}"/>
    <hyperlink ref="B30" r:id="rId9" xr:uid="{00000000-0004-0000-0700-000008000000}"/>
    <hyperlink ref="B34" r:id="rId10" xr:uid="{00000000-0004-0000-0700-000009000000}"/>
    <hyperlink ref="B35" r:id="rId11" xr:uid="{00000000-0004-0000-0700-00000A000000}"/>
    <hyperlink ref="B36" r:id="rId12" xr:uid="{00000000-0004-0000-0700-00000B000000}"/>
    <hyperlink ref="B37" r:id="rId13" xr:uid="{00000000-0004-0000-0700-00000C000000}"/>
    <hyperlink ref="B42" r:id="rId14" xr:uid="{00000000-0004-0000-0700-00000D000000}"/>
  </hyperlinks>
  <pageMargins left="0.7" right="0.7" top="0.75" bottom="0.75" header="0.3" footer="0.3"/>
  <drawing r:id="rId1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3:H711"/>
  <sheetViews>
    <sheetView workbookViewId="0">
      <selection activeCell="I1" sqref="I1:I1048576"/>
    </sheetView>
  </sheetViews>
  <sheetFormatPr baseColWidth="10" defaultColWidth="12.5703125" defaultRowHeight="15.75" customHeight="1"/>
  <cols>
    <col min="1" max="1" width="5.85546875" customWidth="1"/>
    <col min="2" max="2" width="16" customWidth="1"/>
    <col min="3" max="3" width="16.5703125" customWidth="1"/>
    <col min="5" max="5" width="39.5703125" customWidth="1"/>
    <col min="9" max="9" width="9.7109375" customWidth="1"/>
  </cols>
  <sheetData>
    <row r="3" spans="2:8" ht="15.75" customHeight="1">
      <c r="B3" s="17" t="s">
        <v>5</v>
      </c>
      <c r="C3" s="18" t="s">
        <v>6</v>
      </c>
      <c r="D3" s="18" t="s">
        <v>7</v>
      </c>
      <c r="E3" s="18" t="s">
        <v>8</v>
      </c>
      <c r="F3" s="19" t="s">
        <v>9</v>
      </c>
      <c r="G3" s="20" t="s">
        <v>11</v>
      </c>
      <c r="H3" s="21" t="s">
        <v>12</v>
      </c>
    </row>
    <row r="4" spans="2:8" ht="15.75" customHeight="1">
      <c r="B4" s="24">
        <v>4823114078705</v>
      </c>
      <c r="C4" s="25" t="s">
        <v>14</v>
      </c>
      <c r="D4" s="24">
        <f ca="1">IFERROR(__xludf.DUMMYFUNCTION("VLOOKUP(SPLIT(C4,"".""),SPLIT(C4,"".""),1)"),143565)</f>
        <v>143565</v>
      </c>
      <c r="E4" s="25" t="s">
        <v>15</v>
      </c>
      <c r="F4" s="26" t="s">
        <v>16</v>
      </c>
      <c r="G4" s="27">
        <v>289.33</v>
      </c>
      <c r="H4" s="28">
        <v>578.66</v>
      </c>
    </row>
    <row r="5" spans="2:8" ht="15.75" customHeight="1">
      <c r="B5" s="24">
        <v>4823114078712</v>
      </c>
      <c r="C5" s="25" t="s">
        <v>18</v>
      </c>
      <c r="D5" s="24">
        <f ca="1">IFERROR(__xludf.DUMMYFUNCTION("VLOOKUP(SPLIT(C5,"".""),SPLIT(C5,"".""),1)"),143566)</f>
        <v>143566</v>
      </c>
      <c r="E5" s="25" t="s">
        <v>15</v>
      </c>
      <c r="F5" s="26" t="s">
        <v>19</v>
      </c>
      <c r="G5" s="29">
        <v>289.33</v>
      </c>
      <c r="H5" s="30">
        <v>578.66</v>
      </c>
    </row>
    <row r="6" spans="2:8" ht="15.75" customHeight="1">
      <c r="B6" s="24">
        <v>4823114078897</v>
      </c>
      <c r="C6" s="25" t="s">
        <v>20</v>
      </c>
      <c r="D6" s="24">
        <f ca="1">IFERROR(__xludf.DUMMYFUNCTION("VLOOKUP(SPLIT(C6,"".""),SPLIT(C6,"".""),1)"),143579)</f>
        <v>143579</v>
      </c>
      <c r="E6" s="25" t="s">
        <v>21</v>
      </c>
      <c r="F6" s="26" t="s">
        <v>16</v>
      </c>
      <c r="G6" s="29">
        <v>375.95</v>
      </c>
      <c r="H6" s="30">
        <v>751.91</v>
      </c>
    </row>
    <row r="7" spans="2:8" ht="15.75" customHeight="1">
      <c r="B7" s="24">
        <v>4823114078903</v>
      </c>
      <c r="C7" s="25" t="s">
        <v>22</v>
      </c>
      <c r="D7" s="24">
        <f ca="1">IFERROR(__xludf.DUMMYFUNCTION("VLOOKUP(SPLIT(C7,"".""),SPLIT(C7,"".""),1)"),143580)</f>
        <v>143580</v>
      </c>
      <c r="E7" s="25" t="s">
        <v>21</v>
      </c>
      <c r="F7" s="26" t="s">
        <v>19</v>
      </c>
      <c r="G7" s="29">
        <v>375.95</v>
      </c>
      <c r="H7" s="30">
        <v>751.91</v>
      </c>
    </row>
    <row r="8" spans="2:8" ht="15.75" customHeight="1">
      <c r="B8" s="32">
        <v>4823114070297</v>
      </c>
      <c r="C8" s="33" t="s">
        <v>23</v>
      </c>
      <c r="D8" s="24">
        <f ca="1">IFERROR(__xludf.DUMMYFUNCTION("VLOOKUP(SPLIT(C8,"".""),SPLIT(C8,"".""),1)"),124104)</f>
        <v>124104</v>
      </c>
      <c r="E8" s="34" t="s">
        <v>24</v>
      </c>
      <c r="F8" s="35" t="s">
        <v>25</v>
      </c>
      <c r="G8" s="36">
        <v>353.85</v>
      </c>
      <c r="H8" s="36">
        <v>707.7</v>
      </c>
    </row>
    <row r="9" spans="2:8" ht="15.75" customHeight="1">
      <c r="B9" s="61">
        <v>4823114075247</v>
      </c>
      <c r="C9" s="61" t="s">
        <v>53</v>
      </c>
      <c r="D9" s="61">
        <f ca="1">IFERROR(__xludf.DUMMYFUNCTION("VLOOKUP(SPLIT(C9,"".""),SPLIT(C9,"".""),1)"),133195)</f>
        <v>133195</v>
      </c>
      <c r="E9" s="62" t="s">
        <v>54</v>
      </c>
      <c r="F9" s="63" t="s">
        <v>16</v>
      </c>
      <c r="G9" s="27">
        <v>30.69</v>
      </c>
      <c r="H9" s="28">
        <v>61.39</v>
      </c>
    </row>
    <row r="10" spans="2:8" ht="15.75" customHeight="1">
      <c r="B10" s="61">
        <v>4823114075223</v>
      </c>
      <c r="C10" s="61" t="s">
        <v>55</v>
      </c>
      <c r="D10" s="61">
        <f ca="1">IFERROR(__xludf.DUMMYFUNCTION("VLOOKUP(SPLIT(C10,"".""),SPLIT(C10,"".""),1)"),133194)</f>
        <v>133194</v>
      </c>
      <c r="E10" s="62" t="s">
        <v>54</v>
      </c>
      <c r="F10" s="63" t="s">
        <v>19</v>
      </c>
      <c r="G10" s="27">
        <v>30.69</v>
      </c>
      <c r="H10" s="28">
        <v>61.39</v>
      </c>
    </row>
    <row r="11" spans="2:8" ht="15.75" customHeight="1">
      <c r="B11" s="61">
        <v>4823114075285</v>
      </c>
      <c r="C11" s="61" t="s">
        <v>56</v>
      </c>
      <c r="D11" s="61">
        <f ca="1">IFERROR(__xludf.DUMMYFUNCTION("VLOOKUP(SPLIT(C11,"".""),SPLIT(C11,"".""),1)"),133199)</f>
        <v>133199</v>
      </c>
      <c r="E11" s="62" t="s">
        <v>57</v>
      </c>
      <c r="F11" s="63" t="s">
        <v>16</v>
      </c>
      <c r="G11" s="27">
        <v>46.04</v>
      </c>
      <c r="H11" s="28">
        <v>92.08</v>
      </c>
    </row>
    <row r="12" spans="2:8" ht="15.75" customHeight="1">
      <c r="B12" s="61">
        <v>4823114075261</v>
      </c>
      <c r="C12" s="61" t="s">
        <v>58</v>
      </c>
      <c r="D12" s="61">
        <f ca="1">IFERROR(__xludf.DUMMYFUNCTION("VLOOKUP(SPLIT(C12,"".""),SPLIT(C12,"".""),1)"),133198)</f>
        <v>133198</v>
      </c>
      <c r="E12" s="62" t="s">
        <v>57</v>
      </c>
      <c r="F12" s="63" t="s">
        <v>19</v>
      </c>
      <c r="G12" s="27">
        <v>46.04</v>
      </c>
      <c r="H12" s="28">
        <v>92.08</v>
      </c>
    </row>
    <row r="13" spans="2:8" ht="15.75" customHeight="1">
      <c r="B13" s="61">
        <v>4823114019999</v>
      </c>
      <c r="C13" s="61" t="s">
        <v>59</v>
      </c>
      <c r="D13" s="61">
        <f ca="1">IFERROR(__xludf.DUMMYFUNCTION("VLOOKUP(SPLIT(C13,"".""),SPLIT(C13,"".""),1)"),44392)</f>
        <v>44392</v>
      </c>
      <c r="E13" s="61" t="s">
        <v>60</v>
      </c>
      <c r="F13" s="63" t="s">
        <v>16</v>
      </c>
      <c r="G13" s="27">
        <v>24.61</v>
      </c>
      <c r="H13" s="28">
        <v>49.22</v>
      </c>
    </row>
    <row r="14" spans="2:8" ht="15.75" customHeight="1">
      <c r="B14" s="61">
        <v>4823114019982</v>
      </c>
      <c r="C14" s="61" t="s">
        <v>62</v>
      </c>
      <c r="D14" s="61">
        <f ca="1">IFERROR(__xludf.DUMMYFUNCTION("VLOOKUP(SPLIT(C14,"".""),SPLIT(C14,"".""),1)"),44393)</f>
        <v>44393</v>
      </c>
      <c r="E14" s="61" t="s">
        <v>60</v>
      </c>
      <c r="F14" s="63" t="s">
        <v>19</v>
      </c>
      <c r="G14" s="27">
        <v>24.61</v>
      </c>
      <c r="H14" s="28">
        <v>49.22</v>
      </c>
    </row>
    <row r="15" spans="2:8" ht="15.75" customHeight="1">
      <c r="B15" s="61">
        <v>4823114019975</v>
      </c>
      <c r="C15" s="61" t="s">
        <v>63</v>
      </c>
      <c r="D15" s="61">
        <f ca="1">IFERROR(__xludf.DUMMYFUNCTION("VLOOKUP(SPLIT(C15,"".""),SPLIT(C15,"".""),1)"),44394)</f>
        <v>44394</v>
      </c>
      <c r="E15" s="61" t="s">
        <v>64</v>
      </c>
      <c r="F15" s="63" t="s">
        <v>16</v>
      </c>
      <c r="G15" s="66">
        <v>36.909999999999997</v>
      </c>
      <c r="H15" s="91">
        <v>73.819999999999993</v>
      </c>
    </row>
    <row r="16" spans="2:8" ht="15.75" customHeight="1">
      <c r="B16" s="69">
        <v>4823114019968</v>
      </c>
      <c r="C16" s="69" t="s">
        <v>65</v>
      </c>
      <c r="D16" s="61">
        <f ca="1">IFERROR(__xludf.DUMMYFUNCTION("VLOOKUP(SPLIT(C16,"".""),SPLIT(C16,"".""),1)"),44395)</f>
        <v>44395</v>
      </c>
      <c r="E16" s="69" t="s">
        <v>64</v>
      </c>
      <c r="F16" s="70" t="s">
        <v>19</v>
      </c>
      <c r="G16" s="71">
        <v>36.909999999999997</v>
      </c>
      <c r="H16" s="71">
        <v>73.819999999999993</v>
      </c>
    </row>
    <row r="17" spans="2:8" ht="15.75" customHeight="1">
      <c r="B17" s="61">
        <v>4823114046643</v>
      </c>
      <c r="C17" s="61" t="s">
        <v>1148</v>
      </c>
      <c r="D17" s="61">
        <f ca="1">IFERROR(__xludf.DUMMYFUNCTION("VLOOKUP(SPLIT(C17,"".""),SPLIT(C17,"".""),1)"),61341)</f>
        <v>61341</v>
      </c>
      <c r="E17" s="61" t="s">
        <v>1149</v>
      </c>
      <c r="F17" s="63" t="s">
        <v>16</v>
      </c>
      <c r="G17" s="71">
        <v>40.6</v>
      </c>
      <c r="H17" s="71">
        <v>81.19</v>
      </c>
    </row>
    <row r="18" spans="2:8" ht="15.75" customHeight="1">
      <c r="B18" s="61">
        <v>4823114046650</v>
      </c>
      <c r="C18" s="61" t="s">
        <v>1150</v>
      </c>
      <c r="D18" s="61">
        <f ca="1">IFERROR(__xludf.DUMMYFUNCTION("VLOOKUP(SPLIT(C18,"".""),SPLIT(C18,"".""),1)"),61340)</f>
        <v>61340</v>
      </c>
      <c r="E18" s="61" t="s">
        <v>1149</v>
      </c>
      <c r="F18" s="63" t="s">
        <v>19</v>
      </c>
      <c r="G18" s="71">
        <v>40.6</v>
      </c>
      <c r="H18" s="71">
        <v>81.19</v>
      </c>
    </row>
    <row r="19" spans="2:8" ht="15.75" customHeight="1">
      <c r="B19" s="61">
        <v>4823114075322</v>
      </c>
      <c r="C19" s="61" t="s">
        <v>73</v>
      </c>
      <c r="D19" s="61">
        <f ca="1">IFERROR(__xludf.DUMMYFUNCTION("VLOOKUP(SPLIT(C19,"".""),SPLIT(C19,"".""),1)"),133203)</f>
        <v>133203</v>
      </c>
      <c r="E19" s="62" t="s">
        <v>74</v>
      </c>
      <c r="F19" s="63" t="s">
        <v>16</v>
      </c>
      <c r="G19" s="27">
        <v>47.48</v>
      </c>
      <c r="H19" s="28">
        <v>94.96</v>
      </c>
    </row>
    <row r="20" spans="2:8" ht="15.75" customHeight="1">
      <c r="B20" s="61">
        <v>4823114075308</v>
      </c>
      <c r="C20" s="61" t="s">
        <v>75</v>
      </c>
      <c r="D20" s="61">
        <f ca="1">IFERROR(__xludf.DUMMYFUNCTION("VLOOKUP(SPLIT(C20,"".""),SPLIT(C20,"".""),1)"),133202)</f>
        <v>133202</v>
      </c>
      <c r="E20" s="62" t="s">
        <v>74</v>
      </c>
      <c r="F20" s="63" t="s">
        <v>19</v>
      </c>
      <c r="G20" s="27">
        <v>47.48</v>
      </c>
      <c r="H20" s="28">
        <v>94.96</v>
      </c>
    </row>
    <row r="21" spans="2:8" ht="15.75" customHeight="1">
      <c r="B21" s="61">
        <v>4823114019951</v>
      </c>
      <c r="C21" s="61" t="s">
        <v>76</v>
      </c>
      <c r="D21" s="61">
        <f ca="1">IFERROR(__xludf.DUMMYFUNCTION("VLOOKUP(SPLIT(C21,"".""),SPLIT(C21,"".""),1)"),44396)</f>
        <v>44396</v>
      </c>
      <c r="E21" s="61" t="s">
        <v>77</v>
      </c>
      <c r="F21" s="63" t="s">
        <v>16</v>
      </c>
      <c r="G21" s="27">
        <v>41.53</v>
      </c>
      <c r="H21" s="28">
        <v>83.05</v>
      </c>
    </row>
    <row r="22" spans="2:8" ht="15.75" customHeight="1">
      <c r="B22" s="61">
        <v>4823114019944</v>
      </c>
      <c r="C22" s="61" t="s">
        <v>78</v>
      </c>
      <c r="D22" s="61">
        <f ca="1">IFERROR(__xludf.DUMMYFUNCTION("VLOOKUP(SPLIT(C22,"".""),SPLIT(C22,"".""),1)"),44397)</f>
        <v>44397</v>
      </c>
      <c r="E22" s="61" t="s">
        <v>77</v>
      </c>
      <c r="F22" s="63" t="s">
        <v>19</v>
      </c>
      <c r="G22" s="27">
        <v>41.53</v>
      </c>
      <c r="H22" s="28">
        <v>83.05</v>
      </c>
    </row>
    <row r="23" spans="2:8" ht="15.75" customHeight="1">
      <c r="B23" s="61">
        <v>4823114075490</v>
      </c>
      <c r="C23" s="61" t="s">
        <v>80</v>
      </c>
      <c r="D23" s="61">
        <f ca="1">IFERROR(__xludf.DUMMYFUNCTION("VLOOKUP(SPLIT(C23,"".""),SPLIT(C23,"".""),1)"),133219)</f>
        <v>133219</v>
      </c>
      <c r="E23" s="62" t="s">
        <v>81</v>
      </c>
      <c r="F23" s="63" t="s">
        <v>16</v>
      </c>
      <c r="G23" s="27">
        <v>47.48</v>
      </c>
      <c r="H23" s="28">
        <v>94.96</v>
      </c>
    </row>
    <row r="24" spans="2:8" ht="15.75" customHeight="1">
      <c r="B24" s="61">
        <v>4823114075476</v>
      </c>
      <c r="C24" s="61" t="s">
        <v>82</v>
      </c>
      <c r="D24" s="61">
        <f ca="1">IFERROR(__xludf.DUMMYFUNCTION("VLOOKUP(SPLIT(C24,"".""),SPLIT(C24,"".""),1)"),133218)</f>
        <v>133218</v>
      </c>
      <c r="E24" s="62" t="s">
        <v>81</v>
      </c>
      <c r="F24" s="63" t="s">
        <v>19</v>
      </c>
      <c r="G24" s="27">
        <v>47.48</v>
      </c>
      <c r="H24" s="28">
        <v>94.96</v>
      </c>
    </row>
    <row r="25" spans="2:8" ht="15.75" customHeight="1">
      <c r="B25" s="61">
        <v>4823114075537</v>
      </c>
      <c r="C25" s="61" t="s">
        <v>83</v>
      </c>
      <c r="D25" s="61">
        <f ca="1">IFERROR(__xludf.DUMMYFUNCTION("VLOOKUP(SPLIT(C25,"".""),SPLIT(C25,"".""),1)"),133223)</f>
        <v>133223</v>
      </c>
      <c r="E25" s="62" t="s">
        <v>84</v>
      </c>
      <c r="F25" s="63" t="s">
        <v>16</v>
      </c>
      <c r="G25" s="27">
        <v>66.819999999999993</v>
      </c>
      <c r="H25" s="28">
        <v>133.65</v>
      </c>
    </row>
    <row r="26" spans="2:8" ht="15.75" customHeight="1">
      <c r="B26" s="61">
        <v>4823114075513</v>
      </c>
      <c r="C26" s="61" t="s">
        <v>85</v>
      </c>
      <c r="D26" s="61">
        <f ca="1">IFERROR(__xludf.DUMMYFUNCTION("VLOOKUP(SPLIT(C26,"".""),SPLIT(C26,"".""),1)"),133222)</f>
        <v>133222</v>
      </c>
      <c r="E26" s="62" t="s">
        <v>84</v>
      </c>
      <c r="F26" s="63" t="s">
        <v>19</v>
      </c>
      <c r="G26" s="27">
        <v>66.819999999999993</v>
      </c>
      <c r="H26" s="28">
        <v>133.65</v>
      </c>
    </row>
    <row r="27" spans="2:8" ht="15.75" customHeight="1">
      <c r="B27" s="61">
        <v>4823114075445</v>
      </c>
      <c r="C27" s="61" t="s">
        <v>86</v>
      </c>
      <c r="D27" s="61">
        <f ca="1">IFERROR(__xludf.DUMMYFUNCTION("VLOOKUP(SPLIT(C27,"".""),SPLIT(C27,"".""),1)"),133215)</f>
        <v>133215</v>
      </c>
      <c r="E27" s="62" t="s">
        <v>87</v>
      </c>
      <c r="F27" s="63" t="s">
        <v>16</v>
      </c>
      <c r="G27" s="27">
        <v>119.93</v>
      </c>
      <c r="H27" s="28">
        <v>239.86</v>
      </c>
    </row>
    <row r="28" spans="2:8" ht="15.75" customHeight="1">
      <c r="B28" s="61">
        <v>4823114075421</v>
      </c>
      <c r="C28" s="61" t="s">
        <v>88</v>
      </c>
      <c r="D28" s="61">
        <f ca="1">IFERROR(__xludf.DUMMYFUNCTION("VLOOKUP(SPLIT(C28,"".""),SPLIT(C28,"".""),1)"),133214)</f>
        <v>133214</v>
      </c>
      <c r="E28" s="62" t="s">
        <v>87</v>
      </c>
      <c r="F28" s="63" t="s">
        <v>19</v>
      </c>
      <c r="G28" s="27">
        <v>119.93</v>
      </c>
      <c r="H28" s="28">
        <v>239.86</v>
      </c>
    </row>
    <row r="29" spans="2:8" ht="15.75" customHeight="1">
      <c r="B29" s="61">
        <v>4823114067570</v>
      </c>
      <c r="C29" s="61" t="s">
        <v>89</v>
      </c>
      <c r="D29" s="61">
        <f ca="1">IFERROR(__xludf.DUMMYFUNCTION("VLOOKUP(SPLIT(C29,"".""),SPLIT(C29,"".""),1)"),116768)</f>
        <v>116768</v>
      </c>
      <c r="E29" s="61" t="s">
        <v>90</v>
      </c>
      <c r="F29" s="63" t="s">
        <v>19</v>
      </c>
      <c r="G29" s="27">
        <v>128.13999999999999</v>
      </c>
      <c r="H29" s="27">
        <v>256.27999999999997</v>
      </c>
    </row>
    <row r="30" spans="2:8" ht="15.75" customHeight="1">
      <c r="B30" s="61">
        <v>4823114068324</v>
      </c>
      <c r="C30" s="61" t="s">
        <v>91</v>
      </c>
      <c r="D30" s="61">
        <f ca="1">IFERROR(__xludf.DUMMYFUNCTION("VLOOKUP(SPLIT(C30,"".""),SPLIT(C30,"".""),1)"),118275)</f>
        <v>118275</v>
      </c>
      <c r="E30" s="61" t="s">
        <v>92</v>
      </c>
      <c r="F30" s="63" t="s">
        <v>16</v>
      </c>
      <c r="G30" s="27">
        <v>122.03</v>
      </c>
      <c r="H30" s="27">
        <v>244.06</v>
      </c>
    </row>
    <row r="31" spans="2:8" ht="15.75" customHeight="1">
      <c r="B31" s="61">
        <v>4823114068317</v>
      </c>
      <c r="C31" s="61" t="s">
        <v>93</v>
      </c>
      <c r="D31" s="61">
        <f ca="1">IFERROR(__xludf.DUMMYFUNCTION("VLOOKUP(SPLIT(C31,"".""),SPLIT(C31,"".""),1)"),118274)</f>
        <v>118274</v>
      </c>
      <c r="E31" s="61" t="s">
        <v>92</v>
      </c>
      <c r="F31" s="63" t="s">
        <v>19</v>
      </c>
      <c r="G31" s="27">
        <v>122.03</v>
      </c>
      <c r="H31" s="27">
        <v>244.06</v>
      </c>
    </row>
    <row r="32" spans="2:8" ht="15.75" customHeight="1">
      <c r="B32" s="61">
        <v>4823114075209</v>
      </c>
      <c r="C32" s="61" t="s">
        <v>94</v>
      </c>
      <c r="D32" s="61">
        <f ca="1">IFERROR(__xludf.DUMMYFUNCTION("VLOOKUP(SPLIT(C32,"".""),SPLIT(C32,"".""),1)"),133191)</f>
        <v>133191</v>
      </c>
      <c r="E32" s="62" t="s">
        <v>95</v>
      </c>
      <c r="F32" s="63" t="s">
        <v>16</v>
      </c>
      <c r="G32" s="27">
        <v>66.819999999999993</v>
      </c>
      <c r="H32" s="28">
        <v>133.65</v>
      </c>
    </row>
    <row r="33" spans="2:8" ht="15.75" customHeight="1">
      <c r="B33" s="61">
        <v>4823114075186</v>
      </c>
      <c r="C33" s="61" t="s">
        <v>96</v>
      </c>
      <c r="D33" s="61">
        <f ca="1">IFERROR(__xludf.DUMMYFUNCTION("VLOOKUP(SPLIT(C33,"".""),SPLIT(C33,"".""),1)"),133190)</f>
        <v>133190</v>
      </c>
      <c r="E33" s="62" t="s">
        <v>95</v>
      </c>
      <c r="F33" s="63" t="s">
        <v>19</v>
      </c>
      <c r="G33" s="27">
        <v>66.819999999999993</v>
      </c>
      <c r="H33" s="28">
        <v>133.65</v>
      </c>
    </row>
    <row r="34" spans="2:8" ht="15.75" customHeight="1">
      <c r="B34" s="80">
        <v>4823114079252</v>
      </c>
      <c r="C34" s="80" t="s">
        <v>97</v>
      </c>
      <c r="D34" s="61">
        <v>143617</v>
      </c>
      <c r="E34" s="80" t="s">
        <v>98</v>
      </c>
      <c r="F34" s="81" t="s">
        <v>16</v>
      </c>
      <c r="G34" s="27">
        <v>41.53</v>
      </c>
      <c r="H34" s="28">
        <v>83.05</v>
      </c>
    </row>
    <row r="35" spans="2:8" ht="15.75" customHeight="1">
      <c r="B35" s="61">
        <v>4823114079269</v>
      </c>
      <c r="C35" s="61" t="s">
        <v>99</v>
      </c>
      <c r="D35" s="61">
        <v>143618</v>
      </c>
      <c r="E35" s="61" t="s">
        <v>98</v>
      </c>
      <c r="F35" s="63" t="s">
        <v>19</v>
      </c>
      <c r="G35" s="27">
        <v>41.53</v>
      </c>
      <c r="H35" s="28">
        <v>83.05</v>
      </c>
    </row>
    <row r="36" spans="2:8" ht="15.75" customHeight="1">
      <c r="B36" s="61">
        <v>4823114079337</v>
      </c>
      <c r="C36" s="61" t="s">
        <v>100</v>
      </c>
      <c r="D36" s="61">
        <f ca="1">IFERROR(__xludf.DUMMYFUNCTION("VLOOKUP(SPLIT(C36,"".""),SPLIT(C36,"".""),1)"),143623)</f>
        <v>143623</v>
      </c>
      <c r="E36" s="61" t="s">
        <v>101</v>
      </c>
      <c r="F36" s="63" t="s">
        <v>16</v>
      </c>
      <c r="G36" s="27">
        <v>58.44</v>
      </c>
      <c r="H36" s="28">
        <v>116.89</v>
      </c>
    </row>
    <row r="37" spans="2:8" ht="15.75" customHeight="1">
      <c r="B37" s="61">
        <v>4823114079344</v>
      </c>
      <c r="C37" s="61" t="s">
        <v>102</v>
      </c>
      <c r="D37" s="61">
        <f ca="1">IFERROR(__xludf.DUMMYFUNCTION("VLOOKUP(SPLIT(C37,"".""),SPLIT(C37,"".""),1)"),143624)</f>
        <v>143624</v>
      </c>
      <c r="E37" s="61" t="s">
        <v>101</v>
      </c>
      <c r="F37" s="63" t="s">
        <v>19</v>
      </c>
      <c r="G37" s="27">
        <v>58.44</v>
      </c>
      <c r="H37" s="28">
        <v>116.89</v>
      </c>
    </row>
    <row r="38" spans="2:8" ht="15.75" customHeight="1">
      <c r="B38" s="61">
        <v>4823114039096</v>
      </c>
      <c r="C38" s="61" t="s">
        <v>103</v>
      </c>
      <c r="D38" s="61">
        <f ca="1">IFERROR(__xludf.DUMMYFUNCTION("VLOOKUP(SPLIT(C38,"".""),SPLIT(C38,"".""),1)"),44402)</f>
        <v>44402</v>
      </c>
      <c r="E38" s="61" t="s">
        <v>104</v>
      </c>
      <c r="F38" s="63" t="s">
        <v>16</v>
      </c>
      <c r="G38" s="27">
        <v>105.95</v>
      </c>
      <c r="H38" s="28">
        <v>211.9</v>
      </c>
    </row>
    <row r="39" spans="2:8" ht="15.75" customHeight="1">
      <c r="B39" s="61">
        <v>4823114039140</v>
      </c>
      <c r="C39" s="61" t="s">
        <v>105</v>
      </c>
      <c r="D39" s="61">
        <f ca="1">IFERROR(__xludf.DUMMYFUNCTION("VLOOKUP(SPLIT(C39,"".""),SPLIT(C39,"".""),1)"),44403)</f>
        <v>44403</v>
      </c>
      <c r="E39" s="61" t="s">
        <v>104</v>
      </c>
      <c r="F39" s="63" t="s">
        <v>19</v>
      </c>
      <c r="G39" s="27">
        <v>105.95</v>
      </c>
      <c r="H39" s="28">
        <v>211.9</v>
      </c>
    </row>
    <row r="40" spans="2:8" ht="15.75" customHeight="1">
      <c r="B40" s="24">
        <v>4823114079177</v>
      </c>
      <c r="C40" s="25" t="s">
        <v>106</v>
      </c>
      <c r="D40" s="24">
        <f ca="1">IFERROR(__xludf.DUMMYFUNCTION("VLOOKUP(SPLIT(C40,"".""),SPLIT(C40,"".""),1)"),143611)</f>
        <v>143611</v>
      </c>
      <c r="E40" s="25" t="s">
        <v>107</v>
      </c>
      <c r="F40" s="63" t="s">
        <v>16</v>
      </c>
      <c r="G40" s="27">
        <v>116.55</v>
      </c>
      <c r="H40" s="28">
        <v>233.09</v>
      </c>
    </row>
    <row r="41" spans="2:8" ht="15.75" customHeight="1">
      <c r="B41" s="24">
        <v>4823114079184</v>
      </c>
      <c r="C41" s="25" t="s">
        <v>108</v>
      </c>
      <c r="D41" s="24">
        <f ca="1">IFERROR(__xludf.DUMMYFUNCTION("VLOOKUP(SPLIT(C41,"".""),SPLIT(C41,"".""),1)"),143612)</f>
        <v>143612</v>
      </c>
      <c r="E41" s="25" t="s">
        <v>107</v>
      </c>
      <c r="F41" s="63" t="s">
        <v>19</v>
      </c>
      <c r="G41" s="27">
        <v>116.55</v>
      </c>
      <c r="H41" s="28">
        <v>233.09</v>
      </c>
    </row>
    <row r="42" spans="2:8" ht="15.75" customHeight="1">
      <c r="B42" s="61">
        <v>4823114020001</v>
      </c>
      <c r="C42" s="61" t="s">
        <v>109</v>
      </c>
      <c r="D42" s="61">
        <f ca="1">IFERROR(__xludf.DUMMYFUNCTION("VLOOKUP(SPLIT(C42,"".""),SPLIT(C42,"".""),1)"),44390)</f>
        <v>44390</v>
      </c>
      <c r="E42" s="61" t="s">
        <v>110</v>
      </c>
      <c r="F42" s="63" t="s">
        <v>16</v>
      </c>
      <c r="G42" s="27">
        <v>58.44</v>
      </c>
      <c r="H42" s="28">
        <v>116.89</v>
      </c>
    </row>
    <row r="43" spans="2:8" ht="15.75" customHeight="1">
      <c r="B43" s="61">
        <v>4823114020018</v>
      </c>
      <c r="C43" s="61" t="s">
        <v>111</v>
      </c>
      <c r="D43" s="61">
        <f ca="1">IFERROR(__xludf.DUMMYFUNCTION("VLOOKUP(SPLIT(C43,"".""),SPLIT(C43,"".""),1)"),44391)</f>
        <v>44391</v>
      </c>
      <c r="E43" s="61" t="s">
        <v>110</v>
      </c>
      <c r="F43" s="63" t="s">
        <v>19</v>
      </c>
      <c r="G43" s="27">
        <v>58.44</v>
      </c>
      <c r="H43" s="28">
        <v>116.89</v>
      </c>
    </row>
    <row r="44" spans="2:8" ht="15.75" customHeight="1">
      <c r="B44" s="83">
        <v>4823114074462</v>
      </c>
      <c r="C44" s="34" t="s">
        <v>112</v>
      </c>
      <c r="D44" s="83">
        <v>130575</v>
      </c>
      <c r="E44" s="84" t="s">
        <v>113</v>
      </c>
      <c r="F44" s="35" t="s">
        <v>16</v>
      </c>
      <c r="G44" s="27">
        <v>67.5</v>
      </c>
      <c r="H44" s="28">
        <v>135</v>
      </c>
    </row>
    <row r="45" spans="2:8" ht="15.75" customHeight="1">
      <c r="B45" s="83">
        <v>4823114074448</v>
      </c>
      <c r="C45" s="34" t="s">
        <v>114</v>
      </c>
      <c r="D45" s="83">
        <v>130573</v>
      </c>
      <c r="E45" s="84" t="s">
        <v>113</v>
      </c>
      <c r="F45" s="35" t="s">
        <v>19</v>
      </c>
      <c r="G45" s="27">
        <v>67.5</v>
      </c>
      <c r="H45" s="28">
        <v>135</v>
      </c>
    </row>
    <row r="46" spans="2:8" ht="15.75" customHeight="1">
      <c r="B46" s="85">
        <v>4823114070761</v>
      </c>
      <c r="C46" s="86" t="s">
        <v>115</v>
      </c>
      <c r="D46" s="61">
        <f ca="1">IFERROR(__xludf.DUMMYFUNCTION("VLOOKUP(SPLIT(C46,"".""),SPLIT(C46,"".""),1)"),117716)</f>
        <v>117716</v>
      </c>
      <c r="E46" s="61" t="s">
        <v>116</v>
      </c>
      <c r="F46" s="35" t="s">
        <v>16</v>
      </c>
      <c r="G46" s="77">
        <v>96.61</v>
      </c>
      <c r="H46" s="77">
        <v>193.22</v>
      </c>
    </row>
    <row r="47" spans="2:8" ht="15.75" customHeight="1">
      <c r="B47" s="85">
        <v>4823114070778</v>
      </c>
      <c r="C47" s="86" t="s">
        <v>117</v>
      </c>
      <c r="D47" s="61">
        <f ca="1">IFERROR(__xludf.DUMMYFUNCTION("VLOOKUP(SPLIT(C47,"".""),SPLIT(C47,"".""),1)"),117717)</f>
        <v>117717</v>
      </c>
      <c r="E47" s="61" t="s">
        <v>116</v>
      </c>
      <c r="F47" s="63" t="s">
        <v>19</v>
      </c>
      <c r="G47" s="77">
        <v>96.61</v>
      </c>
      <c r="H47" s="77">
        <v>193.22</v>
      </c>
    </row>
    <row r="48" spans="2:8" ht="15.75" customHeight="1">
      <c r="B48" s="32">
        <v>4823114068003</v>
      </c>
      <c r="C48" s="33" t="s">
        <v>125</v>
      </c>
      <c r="D48" s="32">
        <v>117736</v>
      </c>
      <c r="E48" s="87" t="s">
        <v>126</v>
      </c>
      <c r="F48" s="88" t="s">
        <v>16</v>
      </c>
      <c r="G48" s="89">
        <v>220.8</v>
      </c>
      <c r="H48" s="89">
        <v>441.6</v>
      </c>
    </row>
    <row r="49" spans="2:8" ht="15.75" customHeight="1">
      <c r="B49" s="32">
        <v>4823114068010</v>
      </c>
      <c r="C49" s="33" t="s">
        <v>127</v>
      </c>
      <c r="D49" s="32">
        <v>117737</v>
      </c>
      <c r="E49" s="87" t="s">
        <v>126</v>
      </c>
      <c r="F49" s="88" t="s">
        <v>19</v>
      </c>
      <c r="G49" s="89">
        <v>220.8</v>
      </c>
      <c r="H49" s="89">
        <v>441.6</v>
      </c>
    </row>
    <row r="50" spans="2:8" ht="15.75" customHeight="1">
      <c r="B50" s="61">
        <v>4823114075407</v>
      </c>
      <c r="C50" s="61" t="s">
        <v>129</v>
      </c>
      <c r="D50" s="61">
        <f ca="1">IFERROR(__xludf.DUMMYFUNCTION("VLOOKUP(SPLIT(C50,"".""),SPLIT(C50,"".""),1)"),133211)</f>
        <v>133211</v>
      </c>
      <c r="E50" s="62" t="s">
        <v>130</v>
      </c>
      <c r="F50" s="63" t="s">
        <v>16</v>
      </c>
      <c r="G50" s="27">
        <v>94.96</v>
      </c>
      <c r="H50" s="28">
        <v>189.92</v>
      </c>
    </row>
    <row r="51" spans="2:8" ht="15.75" customHeight="1">
      <c r="B51" s="61">
        <v>4823114075384</v>
      </c>
      <c r="C51" s="61" t="s">
        <v>131</v>
      </c>
      <c r="D51" s="61">
        <f ca="1">IFERROR(__xludf.DUMMYFUNCTION("VLOOKUP(SPLIT(C51,"".""),SPLIT(C51,"".""),1)"),133210)</f>
        <v>133210</v>
      </c>
      <c r="E51" s="62" t="s">
        <v>130</v>
      </c>
      <c r="F51" s="63" t="s">
        <v>19</v>
      </c>
      <c r="G51" s="27">
        <v>94.96</v>
      </c>
      <c r="H51" s="28">
        <v>189.92</v>
      </c>
    </row>
    <row r="52" spans="2:8" ht="15.75" customHeight="1">
      <c r="B52" s="61">
        <v>4823114075162</v>
      </c>
      <c r="C52" s="61" t="s">
        <v>132</v>
      </c>
      <c r="D52" s="61">
        <f ca="1">IFERROR(__xludf.DUMMYFUNCTION("VLOOKUP(SPLIT(C52,"".""),SPLIT(C52,"".""),1)"),133187)</f>
        <v>133187</v>
      </c>
      <c r="E52" s="61" t="s">
        <v>133</v>
      </c>
      <c r="F52" s="63" t="s">
        <v>16</v>
      </c>
      <c r="G52" s="27">
        <v>22.86</v>
      </c>
      <c r="H52" s="28">
        <v>45.72</v>
      </c>
    </row>
    <row r="53" spans="2:8" ht="15.75" customHeight="1">
      <c r="B53" s="69">
        <v>4823114075148</v>
      </c>
      <c r="C53" s="69" t="s">
        <v>134</v>
      </c>
      <c r="D53" s="61">
        <f ca="1">IFERROR(__xludf.DUMMYFUNCTION("VLOOKUP(SPLIT(C53,"".""),SPLIT(C53,"".""),1)"),133186)</f>
        <v>133186</v>
      </c>
      <c r="E53" s="69" t="s">
        <v>135</v>
      </c>
      <c r="F53" s="70" t="s">
        <v>19</v>
      </c>
      <c r="G53" s="66">
        <v>22.86</v>
      </c>
      <c r="H53" s="91">
        <v>45.72</v>
      </c>
    </row>
    <row r="54" spans="2:8" ht="15">
      <c r="B54" s="87">
        <v>4823114066214</v>
      </c>
      <c r="C54" s="87" t="s">
        <v>136</v>
      </c>
      <c r="D54" s="61">
        <f ca="1">IFERROR(__xludf.DUMMYFUNCTION("VLOOKUP(SPLIT(C54,"".""),SPLIT(C54,"".""),1)"),110754)</f>
        <v>110754</v>
      </c>
      <c r="E54" s="87" t="s">
        <v>137</v>
      </c>
      <c r="F54" s="88" t="s">
        <v>16</v>
      </c>
      <c r="G54" s="71">
        <v>24.3</v>
      </c>
      <c r="H54" s="71">
        <v>48.6</v>
      </c>
    </row>
    <row r="55" spans="2:8" ht="15">
      <c r="B55" s="87">
        <v>4823114066221</v>
      </c>
      <c r="C55" s="87" t="s">
        <v>138</v>
      </c>
      <c r="D55" s="61">
        <f ca="1">IFERROR(__xludf.DUMMYFUNCTION("VLOOKUP(SPLIT(C55,"".""),SPLIT(C55,"".""),1)"),110753)</f>
        <v>110753</v>
      </c>
      <c r="E55" s="87" t="s">
        <v>137</v>
      </c>
      <c r="F55" s="88" t="s">
        <v>19</v>
      </c>
      <c r="G55" s="71">
        <v>24.3</v>
      </c>
      <c r="H55" s="71">
        <v>48.6</v>
      </c>
    </row>
    <row r="56" spans="2:8" ht="15">
      <c r="B56" s="61">
        <v>4823114020094</v>
      </c>
      <c r="C56" s="61" t="s">
        <v>1151</v>
      </c>
      <c r="D56" s="61">
        <f ca="1">IFERROR(__xludf.DUMMYFUNCTION("VLOOKUP(SPLIT(C56,"".""),SPLIT(C56,"".""),1)"),44400)</f>
        <v>44400</v>
      </c>
      <c r="E56" s="61" t="s">
        <v>1152</v>
      </c>
      <c r="F56" s="63" t="s">
        <v>16</v>
      </c>
      <c r="G56" s="27">
        <v>66.13</v>
      </c>
      <c r="H56" s="28">
        <v>132.27000000000001</v>
      </c>
    </row>
    <row r="57" spans="2:8" ht="15">
      <c r="B57" s="61">
        <v>4823114020087</v>
      </c>
      <c r="C57" s="61" t="s">
        <v>1153</v>
      </c>
      <c r="D57" s="61">
        <f ca="1">IFERROR(__xludf.DUMMYFUNCTION("VLOOKUP(SPLIT(C57,"".""),SPLIT(C57,"".""),1)"),44401)</f>
        <v>44401</v>
      </c>
      <c r="E57" s="61" t="s">
        <v>1152</v>
      </c>
      <c r="F57" s="63" t="s">
        <v>19</v>
      </c>
      <c r="G57" s="27">
        <v>66.13</v>
      </c>
      <c r="H57" s="28">
        <v>132.27000000000001</v>
      </c>
    </row>
    <row r="58" spans="2:8" ht="15">
      <c r="B58" s="24">
        <v>4823114079139</v>
      </c>
      <c r="C58" s="24" t="s">
        <v>142</v>
      </c>
      <c r="D58" s="24">
        <v>143607</v>
      </c>
      <c r="E58" s="24" t="s">
        <v>143</v>
      </c>
      <c r="F58" s="63" t="s">
        <v>16</v>
      </c>
      <c r="G58" s="27">
        <v>206.95</v>
      </c>
      <c r="H58" s="28">
        <v>413.91</v>
      </c>
    </row>
    <row r="59" spans="2:8" ht="15">
      <c r="B59" s="92">
        <v>4823114079146</v>
      </c>
      <c r="C59" s="92" t="s">
        <v>144</v>
      </c>
      <c r="D59" s="92">
        <v>143608</v>
      </c>
      <c r="E59" s="92" t="s">
        <v>143</v>
      </c>
      <c r="F59" s="70" t="s">
        <v>19</v>
      </c>
      <c r="G59" s="27">
        <v>206.95</v>
      </c>
      <c r="H59" s="28">
        <v>413.91</v>
      </c>
    </row>
    <row r="60" spans="2:8" ht="15">
      <c r="B60" s="83">
        <v>4823114068560</v>
      </c>
      <c r="C60" s="93" t="s">
        <v>145</v>
      </c>
      <c r="D60" s="61">
        <f ca="1">IFERROR(__xludf.DUMMYFUNCTION("VLOOKUP(SPLIT(C60,"".""),SPLIT(C60,"".""),1)"),117760)</f>
        <v>117760</v>
      </c>
      <c r="E60" s="87" t="s">
        <v>146</v>
      </c>
      <c r="F60" s="88" t="s">
        <v>16</v>
      </c>
      <c r="G60" s="71">
        <v>89.37</v>
      </c>
      <c r="H60" s="71">
        <v>178.75</v>
      </c>
    </row>
    <row r="61" spans="2:8" ht="15">
      <c r="B61" s="83">
        <v>4823114068577</v>
      </c>
      <c r="C61" s="93" t="s">
        <v>147</v>
      </c>
      <c r="D61" s="61">
        <f ca="1">IFERROR(__xludf.DUMMYFUNCTION("VLOOKUP(SPLIT(C61,"".""),SPLIT(C61,"".""),1)"),117761)</f>
        <v>117761</v>
      </c>
      <c r="E61" s="87" t="s">
        <v>146</v>
      </c>
      <c r="F61" s="88" t="s">
        <v>148</v>
      </c>
      <c r="G61" s="71">
        <v>89.37</v>
      </c>
      <c r="H61" s="71">
        <v>178.75</v>
      </c>
    </row>
    <row r="62" spans="2:8" ht="15">
      <c r="B62" s="83">
        <v>4823114068553</v>
      </c>
      <c r="C62" s="33" t="s">
        <v>149</v>
      </c>
      <c r="D62" s="61">
        <f ca="1">IFERROR(__xludf.DUMMYFUNCTION("VLOOKUP(SPLIT(C62,"".""),SPLIT(C62,"".""),1)"),117759)</f>
        <v>117759</v>
      </c>
      <c r="E62" s="87" t="s">
        <v>146</v>
      </c>
      <c r="F62" s="88" t="s">
        <v>19</v>
      </c>
      <c r="G62" s="71">
        <v>89.37</v>
      </c>
      <c r="H62" s="71">
        <v>178.75</v>
      </c>
    </row>
    <row r="63" spans="2:8" ht="15">
      <c r="B63" s="61">
        <v>4823114075360</v>
      </c>
      <c r="C63" s="61" t="s">
        <v>157</v>
      </c>
      <c r="D63" s="61">
        <f ca="1">IFERROR(__xludf.DUMMYFUNCTION("VLOOKUP(SPLIT(C63,"".""),SPLIT(C63,"".""),1)"),133207)</f>
        <v>133207</v>
      </c>
      <c r="E63" s="62" t="s">
        <v>158</v>
      </c>
      <c r="F63" s="63" t="s">
        <v>16</v>
      </c>
      <c r="G63" s="27">
        <v>47.48</v>
      </c>
      <c r="H63" s="28">
        <v>94.96</v>
      </c>
    </row>
    <row r="64" spans="2:8" ht="15">
      <c r="B64" s="61">
        <v>4823114075346</v>
      </c>
      <c r="C64" s="61" t="s">
        <v>159</v>
      </c>
      <c r="D64" s="61">
        <f ca="1">IFERROR(__xludf.DUMMYFUNCTION("VLOOKUP(SPLIT(C64,"".""),SPLIT(C64,"".""),1)"),133206)</f>
        <v>133206</v>
      </c>
      <c r="E64" s="62" t="s">
        <v>158</v>
      </c>
      <c r="F64" s="63" t="s">
        <v>19</v>
      </c>
      <c r="G64" s="27">
        <v>47.48</v>
      </c>
      <c r="H64" s="28">
        <v>94.96</v>
      </c>
    </row>
    <row r="65" spans="2:8" ht="15">
      <c r="B65" s="61">
        <v>4823114075575</v>
      </c>
      <c r="C65" s="61" t="s">
        <v>160</v>
      </c>
      <c r="D65" s="61">
        <f ca="1">IFERROR(__xludf.DUMMYFUNCTION("VLOOKUP(SPLIT(C65,"".""),SPLIT(C65,"".""),1)"),133227)</f>
        <v>133227</v>
      </c>
      <c r="E65" s="62" t="s">
        <v>161</v>
      </c>
      <c r="F65" s="63" t="s">
        <v>16</v>
      </c>
      <c r="G65" s="27">
        <v>94.78</v>
      </c>
      <c r="H65" s="28">
        <v>189.56</v>
      </c>
    </row>
    <row r="66" spans="2:8" ht="15">
      <c r="B66" s="61">
        <v>4823114075551</v>
      </c>
      <c r="C66" s="61" t="s">
        <v>162</v>
      </c>
      <c r="D66" s="61">
        <f ca="1">IFERROR(__xludf.DUMMYFUNCTION("VLOOKUP(SPLIT(C66,"".""),SPLIT(C66,"".""),1)"),133226)</f>
        <v>133226</v>
      </c>
      <c r="E66" s="62" t="s">
        <v>161</v>
      </c>
      <c r="F66" s="63" t="s">
        <v>19</v>
      </c>
      <c r="G66" s="27">
        <v>94.78</v>
      </c>
      <c r="H66" s="28">
        <v>189.56</v>
      </c>
    </row>
    <row r="67" spans="2:8" ht="15">
      <c r="B67" s="61">
        <v>4823114067907</v>
      </c>
      <c r="C67" s="61" t="s">
        <v>163</v>
      </c>
      <c r="D67" s="61">
        <f ca="1">IFERROR(__xludf.DUMMYFUNCTION("VLOOKUP(SPLIT(C67,"".""),SPLIT(C67,"".""),1)"),117720)</f>
        <v>117720</v>
      </c>
      <c r="E67" s="61" t="s">
        <v>164</v>
      </c>
      <c r="F67" s="63" t="s">
        <v>16</v>
      </c>
      <c r="G67" s="27">
        <v>138.16</v>
      </c>
      <c r="H67" s="27">
        <v>276.32</v>
      </c>
    </row>
    <row r="68" spans="2:8" ht="15">
      <c r="B68" s="61">
        <v>4823114067914</v>
      </c>
      <c r="C68" s="61" t="s">
        <v>165</v>
      </c>
      <c r="D68" s="61">
        <f ca="1">IFERROR(__xludf.DUMMYFUNCTION("VLOOKUP(SPLIT(C68,"".""),SPLIT(C68,"".""),1)"),117721)</f>
        <v>117721</v>
      </c>
      <c r="E68" s="61" t="s">
        <v>164</v>
      </c>
      <c r="F68" s="63" t="s">
        <v>19</v>
      </c>
      <c r="G68" s="27">
        <v>138.16</v>
      </c>
      <c r="H68" s="27">
        <v>276.32</v>
      </c>
    </row>
    <row r="69" spans="2:8" ht="15">
      <c r="B69" s="61">
        <v>4823114078644</v>
      </c>
      <c r="C69" s="61" t="s">
        <v>166</v>
      </c>
      <c r="D69" s="61">
        <f ca="1">IFERROR(__xludf.DUMMYFUNCTION("VLOOKUP(SPLIT(C69,"".""),SPLIT(C69,"".""),1)"),143559)</f>
        <v>143559</v>
      </c>
      <c r="E69" s="61" t="s">
        <v>167</v>
      </c>
      <c r="F69" s="63" t="s">
        <v>16</v>
      </c>
      <c r="G69" s="27">
        <v>41.53</v>
      </c>
      <c r="H69" s="28">
        <v>83.05</v>
      </c>
    </row>
    <row r="70" spans="2:8" ht="15">
      <c r="B70" s="61">
        <v>4823114078651</v>
      </c>
      <c r="C70" s="61" t="s">
        <v>168</v>
      </c>
      <c r="D70" s="61">
        <f ca="1">IFERROR(__xludf.DUMMYFUNCTION("VLOOKUP(SPLIT(C70,"".""),SPLIT(C70,"".""),1)"),143560)</f>
        <v>143560</v>
      </c>
      <c r="E70" s="61" t="s">
        <v>167</v>
      </c>
      <c r="F70" s="63" t="s">
        <v>19</v>
      </c>
      <c r="G70" s="27">
        <v>41.53</v>
      </c>
      <c r="H70" s="28">
        <v>83.05</v>
      </c>
    </row>
    <row r="71" spans="2:8" ht="15">
      <c r="B71" s="61">
        <v>4823114006593</v>
      </c>
      <c r="C71" s="61" t="s">
        <v>169</v>
      </c>
      <c r="D71" s="61">
        <f ca="1">IFERROR(__xludf.DUMMYFUNCTION("VLOOKUP(SPLIT(C71,"".""),SPLIT(C71,"".""),1)"),44411)</f>
        <v>44411</v>
      </c>
      <c r="E71" s="61" t="s">
        <v>170</v>
      </c>
      <c r="F71" s="63" t="s">
        <v>16</v>
      </c>
      <c r="G71" s="27">
        <v>83.05</v>
      </c>
      <c r="H71" s="28">
        <v>166.1</v>
      </c>
    </row>
    <row r="72" spans="2:8" ht="15">
      <c r="B72" s="61">
        <v>4823114006609</v>
      </c>
      <c r="C72" s="61" t="s">
        <v>171</v>
      </c>
      <c r="D72" s="61">
        <f ca="1">IFERROR(__xludf.DUMMYFUNCTION("VLOOKUP(SPLIT(C72,"".""),SPLIT(C72,"".""),1)"),44412)</f>
        <v>44412</v>
      </c>
      <c r="E72" s="61" t="s">
        <v>170</v>
      </c>
      <c r="F72" s="63" t="s">
        <v>19</v>
      </c>
      <c r="G72" s="27">
        <v>83.05</v>
      </c>
      <c r="H72" s="28">
        <v>166.1</v>
      </c>
    </row>
    <row r="73" spans="2:8" ht="15">
      <c r="B73" s="24">
        <v>4823114079528</v>
      </c>
      <c r="C73" s="24" t="s">
        <v>172</v>
      </c>
      <c r="D73" s="24">
        <f ca="1">IFERROR(__xludf.DUMMYFUNCTION("VLOOKUP(SPLIT(C73,"".""),SPLIT(C73,"".""),1)"),143637)</f>
        <v>143637</v>
      </c>
      <c r="E73" s="24" t="s">
        <v>173</v>
      </c>
      <c r="F73" s="63" t="s">
        <v>16</v>
      </c>
      <c r="G73" s="27">
        <v>83.05</v>
      </c>
      <c r="H73" s="28">
        <v>166.1</v>
      </c>
    </row>
    <row r="74" spans="2:8" ht="15">
      <c r="B74" s="24">
        <v>4823114079535</v>
      </c>
      <c r="C74" s="24" t="s">
        <v>174</v>
      </c>
      <c r="D74" s="24">
        <f ca="1">IFERROR(__xludf.DUMMYFUNCTION("VLOOKUP(SPLIT(C74,"".""),SPLIT(C74,"".""),1)"),143638)</f>
        <v>143638</v>
      </c>
      <c r="E74" s="24" t="s">
        <v>173</v>
      </c>
      <c r="F74" s="63" t="s">
        <v>19</v>
      </c>
      <c r="G74" s="27">
        <v>83.05</v>
      </c>
      <c r="H74" s="28">
        <v>166.1</v>
      </c>
    </row>
    <row r="75" spans="2:8" ht="15">
      <c r="B75" s="61">
        <v>4823114067969</v>
      </c>
      <c r="C75" s="33" t="s">
        <v>175</v>
      </c>
      <c r="D75" s="61">
        <f ca="1">IFERROR(__xludf.DUMMYFUNCTION("VLOOKUP(SPLIT(C75,"".""),SPLIT(C75,"".""),1)"),117726)</f>
        <v>117726</v>
      </c>
      <c r="E75" s="61" t="s">
        <v>176</v>
      </c>
      <c r="F75" s="63" t="s">
        <v>16</v>
      </c>
      <c r="G75" s="27">
        <v>140.99</v>
      </c>
      <c r="H75" s="27">
        <v>281.98</v>
      </c>
    </row>
    <row r="76" spans="2:8" ht="15">
      <c r="B76" s="61">
        <v>4823114067976</v>
      </c>
      <c r="C76" s="33" t="s">
        <v>177</v>
      </c>
      <c r="D76" s="61">
        <f ca="1">IFERROR(__xludf.DUMMYFUNCTION("VLOOKUP(SPLIT(C76,"".""),SPLIT(C76,"".""),1)"),117727)</f>
        <v>117727</v>
      </c>
      <c r="E76" s="61" t="s">
        <v>176</v>
      </c>
      <c r="F76" s="63" t="s">
        <v>19</v>
      </c>
      <c r="G76" s="27">
        <v>140.99</v>
      </c>
      <c r="H76" s="27">
        <v>281.98</v>
      </c>
    </row>
    <row r="77" spans="2:8" ht="15">
      <c r="B77" s="24">
        <v>4823114079436</v>
      </c>
      <c r="C77" s="24" t="s">
        <v>189</v>
      </c>
      <c r="D77" s="24">
        <f ca="1">IFERROR(__xludf.DUMMYFUNCTION("VLOOKUP(SPLIT(C77,"".""),SPLIT(C77,"".""),1)"),143631)</f>
        <v>143631</v>
      </c>
      <c r="E77" s="24" t="s">
        <v>190</v>
      </c>
      <c r="F77" s="63" t="s">
        <v>16</v>
      </c>
      <c r="G77" s="27">
        <v>115.01</v>
      </c>
      <c r="H77" s="28">
        <v>230.02</v>
      </c>
    </row>
    <row r="78" spans="2:8" ht="15">
      <c r="B78" s="24">
        <v>4823114079443</v>
      </c>
      <c r="C78" s="24" t="s">
        <v>191</v>
      </c>
      <c r="D78" s="24">
        <f ca="1">IFERROR(__xludf.DUMMYFUNCTION("VLOOKUP(SPLIT(C78,"".""),SPLIT(C78,"".""),1)"),143632)</f>
        <v>143632</v>
      </c>
      <c r="E78" s="24" t="s">
        <v>190</v>
      </c>
      <c r="F78" s="63" t="s">
        <v>19</v>
      </c>
      <c r="G78" s="27">
        <v>115.01</v>
      </c>
      <c r="H78" s="28">
        <v>230.02</v>
      </c>
    </row>
    <row r="79" spans="2:8" ht="15">
      <c r="B79" s="61">
        <v>4823114070136</v>
      </c>
      <c r="C79" s="69" t="s">
        <v>192</v>
      </c>
      <c r="D79" s="61">
        <f ca="1">IFERROR(__xludf.DUMMYFUNCTION("VLOOKUP(SPLIT(C79,"".""),SPLIT(C79,"".""),1)"),123264)</f>
        <v>123264</v>
      </c>
      <c r="E79" s="61" t="s">
        <v>193</v>
      </c>
      <c r="F79" s="63" t="s">
        <v>25</v>
      </c>
      <c r="G79" s="27">
        <v>88.35</v>
      </c>
      <c r="H79" s="28">
        <v>176.7</v>
      </c>
    </row>
    <row r="80" spans="2:8" ht="15">
      <c r="B80" s="24">
        <v>4823114079580</v>
      </c>
      <c r="C80" s="92" t="s">
        <v>194</v>
      </c>
      <c r="D80" s="24">
        <f ca="1">IFERROR(__xludf.DUMMYFUNCTION("VLOOKUP(SPLIT(C80,"".""),SPLIT(C80,"".""),1)"),143643)</f>
        <v>143643</v>
      </c>
      <c r="E80" s="24" t="s">
        <v>195</v>
      </c>
      <c r="F80" s="63" t="s">
        <v>25</v>
      </c>
      <c r="G80" s="27">
        <v>16.37</v>
      </c>
      <c r="H80" s="28">
        <v>32.74</v>
      </c>
    </row>
    <row r="81" spans="2:8" ht="15">
      <c r="B81" s="102">
        <v>4823114068041</v>
      </c>
      <c r="C81" s="86" t="s">
        <v>196</v>
      </c>
      <c r="D81" s="85">
        <v>117739</v>
      </c>
      <c r="E81" s="61" t="s">
        <v>197</v>
      </c>
      <c r="F81" s="63" t="s">
        <v>25</v>
      </c>
      <c r="G81" s="27">
        <v>49.94</v>
      </c>
      <c r="H81" s="27">
        <v>99.88</v>
      </c>
    </row>
    <row r="82" spans="2:8" ht="15">
      <c r="B82" s="61">
        <v>4823114040757</v>
      </c>
      <c r="C82" s="61" t="s">
        <v>204</v>
      </c>
      <c r="D82" s="61">
        <f ca="1">IFERROR(__xludf.DUMMYFUNCTION("VLOOKUP(SPLIT(C82,"".""),SPLIT(C82,"".""),1)"),61384)</f>
        <v>61384</v>
      </c>
      <c r="E82" s="61" t="s">
        <v>205</v>
      </c>
      <c r="F82" s="63" t="s">
        <v>25</v>
      </c>
      <c r="G82" s="71">
        <v>28.86</v>
      </c>
      <c r="H82" s="71">
        <v>57.73</v>
      </c>
    </row>
    <row r="83" spans="2:8" ht="15">
      <c r="B83" s="61">
        <v>4823114039324</v>
      </c>
      <c r="C83" s="61" t="s">
        <v>1154</v>
      </c>
      <c r="D83" s="61">
        <f ca="1">IFERROR(__xludf.DUMMYFUNCTION("VLOOKUP(SPLIT(C83,"".""),SPLIT(C83,"".""),1)"),57204)</f>
        <v>57204</v>
      </c>
      <c r="E83" s="61" t="s">
        <v>1155</v>
      </c>
      <c r="F83" s="63" t="s">
        <v>25</v>
      </c>
      <c r="G83" s="71">
        <v>31.92</v>
      </c>
      <c r="H83" s="71">
        <v>63.85</v>
      </c>
    </row>
    <row r="84" spans="2:8" ht="15">
      <c r="B84" s="61">
        <v>4823114047237</v>
      </c>
      <c r="C84" s="33" t="s">
        <v>208</v>
      </c>
      <c r="D84" s="61">
        <f ca="1">IFERROR(__xludf.DUMMYFUNCTION("VLOOKUP(SPLIT(C84,"".""),SPLIT(C84,"".""),1)"),82132)</f>
        <v>82132</v>
      </c>
      <c r="E84" s="61" t="s">
        <v>209</v>
      </c>
      <c r="F84" s="63" t="s">
        <v>16</v>
      </c>
      <c r="G84" s="71">
        <v>110.05</v>
      </c>
      <c r="H84" s="71">
        <v>220.1</v>
      </c>
    </row>
    <row r="85" spans="2:8" ht="15">
      <c r="B85" s="61">
        <v>4823114047220</v>
      </c>
      <c r="C85" s="103" t="s">
        <v>210</v>
      </c>
      <c r="D85" s="61">
        <f ca="1">IFERROR(__xludf.DUMMYFUNCTION("VLOOKUP(SPLIT(C85,"".""),SPLIT(C85,"".""),1)"),82131)</f>
        <v>82131</v>
      </c>
      <c r="E85" s="61" t="s">
        <v>209</v>
      </c>
      <c r="F85" s="63" t="s">
        <v>19</v>
      </c>
      <c r="G85" s="71">
        <v>110.05</v>
      </c>
      <c r="H85" s="71">
        <v>220.1</v>
      </c>
    </row>
    <row r="86" spans="2:8" ht="15">
      <c r="B86" s="61">
        <v>4823114068072</v>
      </c>
      <c r="C86" s="61" t="s">
        <v>211</v>
      </c>
      <c r="D86" s="61">
        <v>117732</v>
      </c>
      <c r="E86" s="61" t="s">
        <v>212</v>
      </c>
      <c r="F86" s="63" t="s">
        <v>16</v>
      </c>
      <c r="G86" s="27">
        <v>126.56</v>
      </c>
      <c r="H86" s="27">
        <v>253.12</v>
      </c>
    </row>
    <row r="87" spans="2:8" ht="15">
      <c r="B87" s="61">
        <v>4823114068065</v>
      </c>
      <c r="C87" s="61" t="s">
        <v>213</v>
      </c>
      <c r="D87" s="61">
        <v>117733</v>
      </c>
      <c r="E87" s="61" t="s">
        <v>212</v>
      </c>
      <c r="F87" s="63" t="s">
        <v>19</v>
      </c>
      <c r="G87" s="27">
        <v>126.56</v>
      </c>
      <c r="H87" s="27">
        <v>253.12</v>
      </c>
    </row>
    <row r="88" spans="2:8" ht="15">
      <c r="B88" s="61">
        <v>4823114072000</v>
      </c>
      <c r="C88" s="86" t="s">
        <v>215</v>
      </c>
      <c r="D88" s="61">
        <f ca="1">IFERROR(__xludf.DUMMYFUNCTION("VLOOKUP(SPLIT(C88,"".""),SPLIT(C88,"".""),1)"),127496)</f>
        <v>127496</v>
      </c>
      <c r="E88" s="61" t="s">
        <v>216</v>
      </c>
      <c r="F88" s="63" t="s">
        <v>25</v>
      </c>
      <c r="G88" s="71">
        <v>44.53</v>
      </c>
      <c r="H88" s="71">
        <v>89.06</v>
      </c>
    </row>
    <row r="89" spans="2:8" ht="15">
      <c r="B89" s="61">
        <v>4823114043161</v>
      </c>
      <c r="C89" s="61" t="s">
        <v>218</v>
      </c>
      <c r="D89" s="61">
        <f ca="1">IFERROR(__xludf.DUMMYFUNCTION("VLOOKUP(SPLIT(C89,"".""),SPLIT(C89,"".""),1)"),63139)</f>
        <v>63139</v>
      </c>
      <c r="E89" s="61" t="s">
        <v>219</v>
      </c>
      <c r="F89" s="63" t="s">
        <v>16</v>
      </c>
      <c r="G89" s="71">
        <v>18.32</v>
      </c>
      <c r="H89" s="71">
        <v>36.64</v>
      </c>
    </row>
    <row r="90" spans="2:8" ht="15">
      <c r="B90" s="61">
        <v>4823114043178</v>
      </c>
      <c r="C90" s="61" t="s">
        <v>220</v>
      </c>
      <c r="D90" s="61">
        <f ca="1">IFERROR(__xludf.DUMMYFUNCTION("VLOOKUP(SPLIT(C90,"".""),SPLIT(C90,"".""),1)"),63138)</f>
        <v>63138</v>
      </c>
      <c r="E90" s="61" t="s">
        <v>219</v>
      </c>
      <c r="F90" s="63" t="s">
        <v>19</v>
      </c>
      <c r="G90" s="71">
        <v>18.32</v>
      </c>
      <c r="H90" s="71">
        <v>36.64</v>
      </c>
    </row>
    <row r="91" spans="2:8" ht="15">
      <c r="B91" s="61">
        <v>4823114043482</v>
      </c>
      <c r="C91" s="61" t="s">
        <v>221</v>
      </c>
      <c r="D91" s="61">
        <f ca="1">IFERROR(__xludf.DUMMYFUNCTION("VLOOKUP(SPLIT(C91,"".""),SPLIT(C91,"".""),1)"),62947)</f>
        <v>62947</v>
      </c>
      <c r="E91" s="61" t="s">
        <v>222</v>
      </c>
      <c r="F91" s="63" t="s">
        <v>16</v>
      </c>
      <c r="G91" s="71">
        <v>21.31</v>
      </c>
      <c r="H91" s="71">
        <v>42.63</v>
      </c>
    </row>
    <row r="92" spans="2:8" ht="15">
      <c r="B92" s="61">
        <v>4823114043499</v>
      </c>
      <c r="C92" s="61" t="s">
        <v>223</v>
      </c>
      <c r="D92" s="61">
        <f ca="1">IFERROR(__xludf.DUMMYFUNCTION("VLOOKUP(SPLIT(C92,"".""),SPLIT(C92,"".""),1)"),62946)</f>
        <v>62946</v>
      </c>
      <c r="E92" s="61" t="s">
        <v>222</v>
      </c>
      <c r="F92" s="63" t="s">
        <v>19</v>
      </c>
      <c r="G92" s="71">
        <v>21.31</v>
      </c>
      <c r="H92" s="71">
        <v>42.63</v>
      </c>
    </row>
    <row r="93" spans="2:8" ht="15">
      <c r="B93" s="61">
        <v>4823114047602</v>
      </c>
      <c r="C93" s="33" t="s">
        <v>224</v>
      </c>
      <c r="D93" s="61">
        <f ca="1">IFERROR(__xludf.DUMMYFUNCTION("VLOOKUP(SPLIT(C93,"".""),SPLIT(C93,"".""),1)"),67829)</f>
        <v>67829</v>
      </c>
      <c r="E93" s="61" t="s">
        <v>225</v>
      </c>
      <c r="F93" s="63" t="s">
        <v>16</v>
      </c>
      <c r="G93" s="71">
        <v>30.99</v>
      </c>
      <c r="H93" s="71">
        <v>61.98</v>
      </c>
    </row>
    <row r="94" spans="2:8" ht="15">
      <c r="B94" s="61">
        <v>4823114047596</v>
      </c>
      <c r="C94" s="103" t="s">
        <v>226</v>
      </c>
      <c r="D94" s="61">
        <f ca="1">IFERROR(__xludf.DUMMYFUNCTION("VLOOKUP(SPLIT(C94,"".""),SPLIT(C94,"".""),1)"),67828)</f>
        <v>67828</v>
      </c>
      <c r="E94" s="61" t="s">
        <v>225</v>
      </c>
      <c r="F94" s="63" t="s">
        <v>19</v>
      </c>
      <c r="G94" s="71">
        <v>30.99</v>
      </c>
      <c r="H94" s="71">
        <v>61.98</v>
      </c>
    </row>
    <row r="95" spans="2:8" ht="15">
      <c r="B95" s="61">
        <v>4823114048029</v>
      </c>
      <c r="C95" s="103" t="s">
        <v>227</v>
      </c>
      <c r="D95" s="61">
        <f ca="1">IFERROR(__xludf.DUMMYFUNCTION("VLOOKUP(SPLIT(C95,"".""),SPLIT(C95,"".""),1)"),65977)</f>
        <v>65977</v>
      </c>
      <c r="E95" s="61" t="s">
        <v>228</v>
      </c>
      <c r="F95" s="63" t="s">
        <v>16</v>
      </c>
      <c r="G95" s="71">
        <v>105.99</v>
      </c>
      <c r="H95" s="71">
        <v>211.98</v>
      </c>
    </row>
    <row r="96" spans="2:8" ht="15">
      <c r="B96" s="61">
        <v>4823114048012</v>
      </c>
      <c r="C96" s="103" t="s">
        <v>229</v>
      </c>
      <c r="D96" s="61">
        <f ca="1">IFERROR(__xludf.DUMMYFUNCTION("VLOOKUP(SPLIT(C96,"".""),SPLIT(C96,"".""),1)"),65976)</f>
        <v>65976</v>
      </c>
      <c r="E96" s="61" t="s">
        <v>228</v>
      </c>
      <c r="F96" s="63" t="s">
        <v>19</v>
      </c>
      <c r="G96" s="71">
        <v>105.99</v>
      </c>
      <c r="H96" s="71">
        <v>211.98</v>
      </c>
    </row>
    <row r="97" spans="2:8" ht="15">
      <c r="B97" s="111" t="s">
        <v>235</v>
      </c>
      <c r="C97" s="33" t="s">
        <v>236</v>
      </c>
      <c r="D97" s="83">
        <f ca="1">IFERROR(__xludf.DUMMYFUNCTION("VLOOKUP(SPLIT(C97,"".""),SPLIT(C97,"".""),1)"),77657)</f>
        <v>77657</v>
      </c>
      <c r="E97" s="34" t="s">
        <v>237</v>
      </c>
      <c r="F97" s="35" t="s">
        <v>16</v>
      </c>
      <c r="G97" s="36">
        <v>6.96</v>
      </c>
      <c r="H97" s="36">
        <v>13.92</v>
      </c>
    </row>
    <row r="98" spans="2:8" ht="15">
      <c r="B98" s="111" t="s">
        <v>238</v>
      </c>
      <c r="C98" s="33" t="s">
        <v>239</v>
      </c>
      <c r="D98" s="83">
        <f ca="1">IFERROR(__xludf.DUMMYFUNCTION("VLOOKUP(SPLIT(C98,"".""),SPLIT(C98,"".""),1)"),77658)</f>
        <v>77658</v>
      </c>
      <c r="E98" s="34" t="s">
        <v>237</v>
      </c>
      <c r="F98" s="35" t="s">
        <v>19</v>
      </c>
      <c r="G98" s="36">
        <v>6.96</v>
      </c>
      <c r="H98" s="36">
        <v>13.92</v>
      </c>
    </row>
    <row r="99" spans="2:8" ht="15">
      <c r="B99" s="111" t="s">
        <v>240</v>
      </c>
      <c r="C99" s="33" t="s">
        <v>241</v>
      </c>
      <c r="D99" s="83">
        <f ca="1">IFERROR(__xludf.DUMMYFUNCTION("VLOOKUP(SPLIT(C99,"".""),SPLIT(C99,"".""),1)"),78945)</f>
        <v>78945</v>
      </c>
      <c r="E99" s="34" t="s">
        <v>242</v>
      </c>
      <c r="F99" s="35" t="s">
        <v>16</v>
      </c>
      <c r="G99" s="36">
        <v>3.63</v>
      </c>
      <c r="H99" s="36">
        <v>7.26</v>
      </c>
    </row>
    <row r="100" spans="2:8" ht="15">
      <c r="B100" s="111" t="s">
        <v>243</v>
      </c>
      <c r="C100" s="33" t="s">
        <v>244</v>
      </c>
      <c r="D100" s="83">
        <f ca="1">IFERROR(__xludf.DUMMYFUNCTION("VLOOKUP(SPLIT(C100,"".""),SPLIT(C100,"".""),1)"),78944)</f>
        <v>78944</v>
      </c>
      <c r="E100" s="34" t="s">
        <v>242</v>
      </c>
      <c r="F100" s="35" t="s">
        <v>19</v>
      </c>
      <c r="G100" s="36">
        <v>3.63</v>
      </c>
      <c r="H100" s="36">
        <v>7.26</v>
      </c>
    </row>
    <row r="101" spans="2:8" ht="15">
      <c r="B101" s="61">
        <v>4823114015212</v>
      </c>
      <c r="C101" s="61" t="s">
        <v>246</v>
      </c>
      <c r="D101" s="61">
        <f ca="1">IFERROR(__xludf.DUMMYFUNCTION("VLOOKUP(SPLIT(C101,"".""),SPLIT(C101,"".""),1)"),38236)</f>
        <v>38236</v>
      </c>
      <c r="E101" s="61" t="s">
        <v>247</v>
      </c>
      <c r="F101" s="63" t="s">
        <v>16</v>
      </c>
      <c r="G101" s="71">
        <v>114.66</v>
      </c>
      <c r="H101" s="71">
        <v>229.32</v>
      </c>
    </row>
    <row r="102" spans="2:8" ht="15">
      <c r="B102" s="61">
        <v>4823114015205</v>
      </c>
      <c r="C102" s="61" t="s">
        <v>248</v>
      </c>
      <c r="D102" s="61">
        <f ca="1">IFERROR(__xludf.DUMMYFUNCTION("VLOOKUP(SPLIT(C102,"".""),SPLIT(C102,"".""),1)"),38237)</f>
        <v>38237</v>
      </c>
      <c r="E102" s="61" t="s">
        <v>247</v>
      </c>
      <c r="F102" s="63" t="s">
        <v>19</v>
      </c>
      <c r="G102" s="71">
        <v>114.66</v>
      </c>
      <c r="H102" s="71">
        <v>229.32</v>
      </c>
    </row>
    <row r="103" spans="2:8" ht="15">
      <c r="B103" s="61">
        <v>4823114015199</v>
      </c>
      <c r="C103" s="61" t="s">
        <v>249</v>
      </c>
      <c r="D103" s="61">
        <f ca="1">IFERROR(__xludf.DUMMYFUNCTION("VLOOKUP(SPLIT(C103,"".""),SPLIT(C103,"".""),1)"),38238)</f>
        <v>38238</v>
      </c>
      <c r="E103" s="61" t="s">
        <v>250</v>
      </c>
      <c r="F103" s="63" t="s">
        <v>16</v>
      </c>
      <c r="G103" s="71">
        <v>160.97</v>
      </c>
      <c r="H103" s="71">
        <v>321.93</v>
      </c>
    </row>
    <row r="104" spans="2:8" ht="15">
      <c r="B104" s="61">
        <v>4823114015182</v>
      </c>
      <c r="C104" s="61" t="s">
        <v>251</v>
      </c>
      <c r="D104" s="61">
        <f ca="1">IFERROR(__xludf.DUMMYFUNCTION("VLOOKUP(SPLIT(C104,"".""),SPLIT(C104,"".""),1)"),38239)</f>
        <v>38239</v>
      </c>
      <c r="E104" s="61" t="s">
        <v>250</v>
      </c>
      <c r="F104" s="63" t="s">
        <v>19</v>
      </c>
      <c r="G104" s="71">
        <v>160.97</v>
      </c>
      <c r="H104" s="71">
        <v>321.93</v>
      </c>
    </row>
    <row r="105" spans="2:8" ht="15">
      <c r="B105" s="61">
        <v>4823114015090</v>
      </c>
      <c r="C105" s="61" t="s">
        <v>252</v>
      </c>
      <c r="D105" s="61">
        <f ca="1">IFERROR(__xludf.DUMMYFUNCTION("VLOOKUP(SPLIT(C105,"".""),SPLIT(C105,"".""),1)"),38240)</f>
        <v>38240</v>
      </c>
      <c r="E105" s="61" t="s">
        <v>253</v>
      </c>
      <c r="F105" s="63" t="s">
        <v>16</v>
      </c>
      <c r="G105" s="71">
        <v>234.28</v>
      </c>
      <c r="H105" s="71">
        <v>468.56</v>
      </c>
    </row>
    <row r="106" spans="2:8" ht="15">
      <c r="B106" s="61">
        <v>4823114015083</v>
      </c>
      <c r="C106" s="61" t="s">
        <v>254</v>
      </c>
      <c r="D106" s="61">
        <f ca="1">IFERROR(__xludf.DUMMYFUNCTION("VLOOKUP(SPLIT(C106,"".""),SPLIT(C106,"".""),1)"),38241)</f>
        <v>38241</v>
      </c>
      <c r="E106" s="61" t="s">
        <v>253</v>
      </c>
      <c r="F106" s="63" t="s">
        <v>19</v>
      </c>
      <c r="G106" s="71">
        <v>234.28</v>
      </c>
      <c r="H106" s="71">
        <v>468.56</v>
      </c>
    </row>
    <row r="107" spans="2:8" ht="15">
      <c r="B107" s="61">
        <v>4823114015151</v>
      </c>
      <c r="C107" s="61" t="s">
        <v>255</v>
      </c>
      <c r="D107" s="61">
        <f ca="1">IFERROR(__xludf.DUMMYFUNCTION("VLOOKUP(SPLIT(C107,"".""),SPLIT(C107,"".""),1)"),38244)</f>
        <v>38244</v>
      </c>
      <c r="E107" s="61" t="s">
        <v>256</v>
      </c>
      <c r="F107" s="70" t="s">
        <v>16</v>
      </c>
      <c r="G107" s="71">
        <v>280.04000000000002</v>
      </c>
      <c r="H107" s="71">
        <v>560.07000000000005</v>
      </c>
    </row>
    <row r="108" spans="2:8" ht="15">
      <c r="B108" s="69">
        <v>4823114015144</v>
      </c>
      <c r="C108" s="69" t="s">
        <v>257</v>
      </c>
      <c r="D108" s="69">
        <f ca="1">IFERROR(__xludf.DUMMYFUNCTION("VLOOKUP(SPLIT(C108,"".""),SPLIT(C108,"".""),1)"),38245)</f>
        <v>38245</v>
      </c>
      <c r="E108" s="119" t="s">
        <v>256</v>
      </c>
      <c r="F108" s="88" t="s">
        <v>19</v>
      </c>
      <c r="G108" s="71">
        <v>280.04000000000002</v>
      </c>
      <c r="H108" s="71">
        <v>560.07000000000005</v>
      </c>
    </row>
    <row r="109" spans="2:8" ht="15">
      <c r="B109" s="83">
        <v>4823114080975</v>
      </c>
      <c r="C109" s="83" t="s">
        <v>258</v>
      </c>
      <c r="D109" s="87">
        <f ca="1">IFERROR(__xludf.DUMMYFUNCTION("VLOOKUP(SPLIT(C109,"".""),SPLIT(C109,"".""),1)"),149623)</f>
        <v>149623</v>
      </c>
      <c r="E109" s="34" t="s">
        <v>259</v>
      </c>
      <c r="F109" s="35" t="s">
        <v>16</v>
      </c>
      <c r="G109" s="89">
        <v>173.99</v>
      </c>
      <c r="H109" s="89">
        <v>347.98</v>
      </c>
    </row>
    <row r="110" spans="2:8" ht="15">
      <c r="B110" s="83">
        <v>4823114080982</v>
      </c>
      <c r="C110" s="83" t="s">
        <v>260</v>
      </c>
      <c r="D110" s="87">
        <f ca="1">IFERROR(__xludf.DUMMYFUNCTION("VLOOKUP(SPLIT(C110,"".""),SPLIT(C110,"".""),1)"),149624)</f>
        <v>149624</v>
      </c>
      <c r="E110" s="34" t="s">
        <v>259</v>
      </c>
      <c r="F110" s="35" t="s">
        <v>19</v>
      </c>
      <c r="G110" s="89">
        <v>173.99</v>
      </c>
      <c r="H110" s="89">
        <v>347.98</v>
      </c>
    </row>
    <row r="111" spans="2:8" ht="15">
      <c r="B111" s="83">
        <v>4823114080234</v>
      </c>
      <c r="C111" s="83" t="s">
        <v>261</v>
      </c>
      <c r="D111" s="87">
        <f ca="1">IFERROR(__xludf.DUMMYFUNCTION("VLOOKUP(SPLIT(C111,"".""),SPLIT(C111,"".""),1)"),147147)</f>
        <v>147147</v>
      </c>
      <c r="E111" s="34" t="s">
        <v>262</v>
      </c>
      <c r="F111" s="35" t="s">
        <v>25</v>
      </c>
      <c r="G111" s="88">
        <v>156.66999999999999</v>
      </c>
      <c r="H111" s="88">
        <v>313.35000000000002</v>
      </c>
    </row>
    <row r="112" spans="2:8" ht="15">
      <c r="B112" s="61">
        <v>4823114015847</v>
      </c>
      <c r="C112" s="61" t="s">
        <v>263</v>
      </c>
      <c r="D112" s="61">
        <f ca="1">IFERROR(__xludf.DUMMYFUNCTION("VLOOKUP(SPLIT(C112,"".""),SPLIT(C112,"".""),1)"),38206)</f>
        <v>38206</v>
      </c>
      <c r="E112" s="61" t="s">
        <v>264</v>
      </c>
      <c r="F112" s="63" t="s">
        <v>16</v>
      </c>
      <c r="G112" s="27">
        <v>84.89</v>
      </c>
      <c r="H112" s="28">
        <v>169.79</v>
      </c>
    </row>
    <row r="113" spans="2:8" ht="15">
      <c r="B113" s="61">
        <v>4823114015830</v>
      </c>
      <c r="C113" s="61" t="s">
        <v>265</v>
      </c>
      <c r="D113" s="61">
        <f ca="1">IFERROR(__xludf.DUMMYFUNCTION("VLOOKUP(SPLIT(C113,"".""),SPLIT(C113,"".""),1)"),38205)</f>
        <v>38205</v>
      </c>
      <c r="E113" s="61" t="s">
        <v>264</v>
      </c>
      <c r="F113" s="63" t="s">
        <v>19</v>
      </c>
      <c r="G113" s="27">
        <v>84.89</v>
      </c>
      <c r="H113" s="28">
        <v>169.79</v>
      </c>
    </row>
    <row r="114" spans="2:8" ht="15">
      <c r="B114" s="61">
        <v>4823114015823</v>
      </c>
      <c r="C114" s="61" t="s">
        <v>266</v>
      </c>
      <c r="D114" s="61">
        <f ca="1">IFERROR(__xludf.DUMMYFUNCTION("VLOOKUP(SPLIT(C114,"".""),SPLIT(C114,"".""),1)"),38208)</f>
        <v>38208</v>
      </c>
      <c r="E114" s="61" t="s">
        <v>267</v>
      </c>
      <c r="F114" s="63" t="s">
        <v>16</v>
      </c>
      <c r="G114" s="27">
        <v>116.87</v>
      </c>
      <c r="H114" s="28">
        <v>233.73</v>
      </c>
    </row>
    <row r="115" spans="2:8" ht="15">
      <c r="B115" s="61">
        <v>4823114015816</v>
      </c>
      <c r="C115" s="61" t="s">
        <v>268</v>
      </c>
      <c r="D115" s="61">
        <f ca="1">IFERROR(__xludf.DUMMYFUNCTION("VLOOKUP(SPLIT(C115,"".""),SPLIT(C115,"".""),1)"),38207)</f>
        <v>38207</v>
      </c>
      <c r="E115" s="61" t="s">
        <v>267</v>
      </c>
      <c r="F115" s="63" t="s">
        <v>19</v>
      </c>
      <c r="G115" s="27">
        <v>116.87</v>
      </c>
      <c r="H115" s="28">
        <v>233.73</v>
      </c>
    </row>
    <row r="116" spans="2:8" ht="15">
      <c r="B116" s="61">
        <v>4823114014949</v>
      </c>
      <c r="C116" s="61" t="s">
        <v>269</v>
      </c>
      <c r="D116" s="61">
        <f ca="1">IFERROR(__xludf.DUMMYFUNCTION("VLOOKUP(SPLIT(C116,"".""),SPLIT(C116,"".""),1)"),38098)</f>
        <v>38098</v>
      </c>
      <c r="E116" s="61" t="s">
        <v>270</v>
      </c>
      <c r="F116" s="63" t="s">
        <v>16</v>
      </c>
      <c r="G116" s="27">
        <v>26.46</v>
      </c>
      <c r="H116" s="28">
        <v>52.92</v>
      </c>
    </row>
    <row r="117" spans="2:8" ht="15">
      <c r="B117" s="61">
        <v>4823114014932</v>
      </c>
      <c r="C117" s="61" t="s">
        <v>271</v>
      </c>
      <c r="D117" s="61">
        <f ca="1">IFERROR(__xludf.DUMMYFUNCTION("VLOOKUP(SPLIT(C117,"".""),SPLIT(C117,"".""),1)"),38099)</f>
        <v>38099</v>
      </c>
      <c r="E117" s="61" t="s">
        <v>270</v>
      </c>
      <c r="F117" s="63" t="s">
        <v>19</v>
      </c>
      <c r="G117" s="27">
        <v>26.46</v>
      </c>
      <c r="H117" s="28">
        <v>52.92</v>
      </c>
    </row>
    <row r="118" spans="2:8" ht="15">
      <c r="B118" s="61">
        <v>4823114014925</v>
      </c>
      <c r="C118" s="61" t="s">
        <v>272</v>
      </c>
      <c r="D118" s="61">
        <f ca="1">IFERROR(__xludf.DUMMYFUNCTION("VLOOKUP(SPLIT(C118,"".""),SPLIT(C118,"".""),1)"),38100)</f>
        <v>38100</v>
      </c>
      <c r="E118" s="61" t="s">
        <v>273</v>
      </c>
      <c r="F118" s="63" t="s">
        <v>16</v>
      </c>
      <c r="G118" s="27">
        <v>37.49</v>
      </c>
      <c r="H118" s="28">
        <v>74.97</v>
      </c>
    </row>
    <row r="119" spans="2:8" ht="15">
      <c r="B119" s="61">
        <v>4823114014918</v>
      </c>
      <c r="C119" s="61" t="s">
        <v>274</v>
      </c>
      <c r="D119" s="61">
        <f ca="1">IFERROR(__xludf.DUMMYFUNCTION("VLOOKUP(SPLIT(C119,"".""),SPLIT(C119,"".""),1)"),38101)</f>
        <v>38101</v>
      </c>
      <c r="E119" s="61" t="s">
        <v>273</v>
      </c>
      <c r="F119" s="63" t="s">
        <v>19</v>
      </c>
      <c r="G119" s="27">
        <v>37.49</v>
      </c>
      <c r="H119" s="28">
        <v>74.97</v>
      </c>
    </row>
    <row r="120" spans="2:8" ht="15">
      <c r="B120" s="61">
        <v>4823114014840</v>
      </c>
      <c r="C120" s="61" t="s">
        <v>275</v>
      </c>
      <c r="D120" s="61">
        <f ca="1">IFERROR(__xludf.DUMMYFUNCTION("VLOOKUP(SPLIT(C120,"".""),SPLIT(C120,"".""),1)"),38108)</f>
        <v>38108</v>
      </c>
      <c r="E120" s="33" t="s">
        <v>276</v>
      </c>
      <c r="F120" s="63" t="s">
        <v>16</v>
      </c>
      <c r="G120" s="27">
        <v>43</v>
      </c>
      <c r="H120" s="28">
        <v>86</v>
      </c>
    </row>
    <row r="121" spans="2:8" ht="15">
      <c r="B121" s="61">
        <v>4823114014833</v>
      </c>
      <c r="C121" s="61" t="s">
        <v>277</v>
      </c>
      <c r="D121" s="61">
        <f ca="1">IFERROR(__xludf.DUMMYFUNCTION("VLOOKUP(SPLIT(C121,"".""),SPLIT(C121,"".""),1)"),38109)</f>
        <v>38109</v>
      </c>
      <c r="E121" s="103" t="s">
        <v>276</v>
      </c>
      <c r="F121" s="63" t="s">
        <v>19</v>
      </c>
      <c r="G121" s="27">
        <v>43</v>
      </c>
      <c r="H121" s="28">
        <v>86</v>
      </c>
    </row>
    <row r="122" spans="2:8" ht="15">
      <c r="B122" s="61">
        <v>4823114015335</v>
      </c>
      <c r="C122" s="61" t="s">
        <v>278</v>
      </c>
      <c r="D122" s="61">
        <f ca="1">IFERROR(__xludf.DUMMYFUNCTION("VLOOKUP(SPLIT(C122,"".""),SPLIT(C122,"".""),1)"),38194)</f>
        <v>38194</v>
      </c>
      <c r="E122" s="61" t="s">
        <v>279</v>
      </c>
      <c r="F122" s="63" t="s">
        <v>16</v>
      </c>
      <c r="G122" s="27">
        <v>43</v>
      </c>
      <c r="H122" s="28">
        <v>86</v>
      </c>
    </row>
    <row r="123" spans="2:8" ht="15">
      <c r="B123" s="61">
        <v>4823114015328</v>
      </c>
      <c r="C123" s="61" t="s">
        <v>280</v>
      </c>
      <c r="D123" s="61">
        <f ca="1">IFERROR(__xludf.DUMMYFUNCTION("VLOOKUP(SPLIT(C123,"".""),SPLIT(C123,"".""),1)"),38193)</f>
        <v>38193</v>
      </c>
      <c r="E123" s="61" t="s">
        <v>279</v>
      </c>
      <c r="F123" s="63" t="s">
        <v>19</v>
      </c>
      <c r="G123" s="27">
        <v>43</v>
      </c>
      <c r="H123" s="28">
        <v>86</v>
      </c>
    </row>
    <row r="124" spans="2:8" ht="15">
      <c r="B124" s="61">
        <v>4823114015281</v>
      </c>
      <c r="C124" s="61" t="s">
        <v>281</v>
      </c>
      <c r="D124" s="61">
        <f ca="1">IFERROR(__xludf.DUMMYFUNCTION("VLOOKUP(SPLIT(C124,"".""),SPLIT(C124,"".""),1)"),38199)</f>
        <v>38199</v>
      </c>
      <c r="E124" s="61" t="s">
        <v>282</v>
      </c>
      <c r="F124" s="63" t="s">
        <v>16</v>
      </c>
      <c r="G124" s="27">
        <v>59.54</v>
      </c>
      <c r="H124" s="28">
        <v>119.07</v>
      </c>
    </row>
    <row r="125" spans="2:8" ht="15">
      <c r="B125" s="61">
        <v>4823114015274</v>
      </c>
      <c r="C125" s="61" t="s">
        <v>283</v>
      </c>
      <c r="D125" s="61">
        <f ca="1">IFERROR(__xludf.DUMMYFUNCTION("VLOOKUP(SPLIT(C125,"".""),SPLIT(C125,"".""),1)"),38198)</f>
        <v>38198</v>
      </c>
      <c r="E125" s="61" t="s">
        <v>282</v>
      </c>
      <c r="F125" s="63" t="s">
        <v>19</v>
      </c>
      <c r="G125" s="27">
        <v>59.54</v>
      </c>
      <c r="H125" s="28">
        <v>119.07</v>
      </c>
    </row>
    <row r="126" spans="2:8" ht="15">
      <c r="B126" s="61">
        <v>4823114014963</v>
      </c>
      <c r="C126" s="61" t="s">
        <v>284</v>
      </c>
      <c r="D126" s="61">
        <f ca="1">IFERROR(__xludf.DUMMYFUNCTION("VLOOKUP(SPLIT(C126,"".""),SPLIT(C126,"".""),1)"),38096)</f>
        <v>38096</v>
      </c>
      <c r="E126" s="61" t="s">
        <v>285</v>
      </c>
      <c r="F126" s="63" t="s">
        <v>16</v>
      </c>
      <c r="G126" s="27">
        <v>59.54</v>
      </c>
      <c r="H126" s="28">
        <v>119.07</v>
      </c>
    </row>
    <row r="127" spans="2:8" ht="15">
      <c r="B127" s="61">
        <v>4823114014956</v>
      </c>
      <c r="C127" s="61" t="s">
        <v>286</v>
      </c>
      <c r="D127" s="61">
        <f ca="1">IFERROR(__xludf.DUMMYFUNCTION("VLOOKUP(SPLIT(C127,"".""),SPLIT(C127,"".""),1)"),38097)</f>
        <v>38097</v>
      </c>
      <c r="E127" s="61" t="s">
        <v>285</v>
      </c>
      <c r="F127" s="63" t="s">
        <v>19</v>
      </c>
      <c r="G127" s="27">
        <v>59.54</v>
      </c>
      <c r="H127" s="28">
        <v>119.07</v>
      </c>
    </row>
    <row r="128" spans="2:8" ht="15">
      <c r="B128" s="61">
        <v>4823114015298</v>
      </c>
      <c r="C128" s="61" t="s">
        <v>287</v>
      </c>
      <c r="D128" s="61">
        <f ca="1">IFERROR(__xludf.DUMMYFUNCTION("VLOOKUP(SPLIT(C128,"".""),SPLIT(C128,"".""),1)"),38197)</f>
        <v>38197</v>
      </c>
      <c r="E128" s="61" t="s">
        <v>288</v>
      </c>
      <c r="F128" s="63" t="s">
        <v>19</v>
      </c>
      <c r="G128" s="27">
        <v>149.94</v>
      </c>
      <c r="H128" s="28">
        <v>299.88</v>
      </c>
    </row>
    <row r="129" spans="2:8" ht="15">
      <c r="B129" s="61">
        <v>4823114015342</v>
      </c>
      <c r="C129" s="61" t="s">
        <v>289</v>
      </c>
      <c r="D129" s="61">
        <f ca="1">IFERROR(__xludf.DUMMYFUNCTION("VLOOKUP(SPLIT(C129,"".""),SPLIT(C129,"".""),1)"),38192)</f>
        <v>38192</v>
      </c>
      <c r="E129" s="61" t="s">
        <v>290</v>
      </c>
      <c r="F129" s="63" t="s">
        <v>19</v>
      </c>
      <c r="G129" s="27">
        <v>176.4</v>
      </c>
      <c r="H129" s="28">
        <v>352.8</v>
      </c>
    </row>
    <row r="130" spans="2:8" ht="15">
      <c r="B130" s="61">
        <v>4823114017513</v>
      </c>
      <c r="C130" s="61" t="s">
        <v>291</v>
      </c>
      <c r="D130" s="61">
        <f ca="1">IFERROR(__xludf.DUMMYFUNCTION("VLOOKUP(SPLIT(C130,"".""),SPLIT(C130,"".""),1)"),39293)</f>
        <v>39293</v>
      </c>
      <c r="E130" s="61" t="s">
        <v>292</v>
      </c>
      <c r="F130" s="63" t="s">
        <v>19</v>
      </c>
      <c r="G130" s="27">
        <v>194.04</v>
      </c>
      <c r="H130" s="28">
        <v>388.08</v>
      </c>
    </row>
    <row r="131" spans="2:8" ht="15">
      <c r="B131" s="134" t="s">
        <v>293</v>
      </c>
      <c r="C131" s="135" t="s">
        <v>294</v>
      </c>
      <c r="D131" s="92">
        <f ca="1">IFERROR(__xludf.DUMMYFUNCTION("VLOOKUP(SPLIT(C131,"".""),SPLIT(C131,"".""),1)"),38216)</f>
        <v>38216</v>
      </c>
      <c r="E131" s="135" t="s">
        <v>295</v>
      </c>
      <c r="F131" s="136" t="s">
        <v>19</v>
      </c>
      <c r="G131" s="66">
        <v>8.82</v>
      </c>
      <c r="H131" s="91">
        <v>17.64</v>
      </c>
    </row>
    <row r="132" spans="2:8" ht="15">
      <c r="B132" s="111" t="s">
        <v>296</v>
      </c>
      <c r="C132" s="34" t="s">
        <v>297</v>
      </c>
      <c r="D132" s="83">
        <f ca="1">IFERROR(__xludf.DUMMYFUNCTION("VLOOKUP(SPLIT(C132,"".""),SPLIT(C132,"".""),1)"),65855)</f>
        <v>65855</v>
      </c>
      <c r="E132" s="34" t="s">
        <v>298</v>
      </c>
      <c r="F132" s="35" t="s">
        <v>19</v>
      </c>
      <c r="G132" s="71">
        <v>5.08</v>
      </c>
      <c r="H132" s="71">
        <v>10.16</v>
      </c>
    </row>
    <row r="133" spans="2:8" ht="15">
      <c r="B133" s="87">
        <v>4823114064197</v>
      </c>
      <c r="C133" s="87" t="s">
        <v>299</v>
      </c>
      <c r="D133" s="87">
        <v>99164</v>
      </c>
      <c r="E133" s="87" t="s">
        <v>300</v>
      </c>
      <c r="F133" s="88" t="s">
        <v>19</v>
      </c>
      <c r="G133" s="89">
        <v>235.55</v>
      </c>
      <c r="H133" s="89">
        <v>471.1</v>
      </c>
    </row>
    <row r="134" spans="2:8" ht="15">
      <c r="B134" s="87">
        <v>4823114061639</v>
      </c>
      <c r="C134" s="87" t="s">
        <v>301</v>
      </c>
      <c r="D134" s="87">
        <v>101441</v>
      </c>
      <c r="E134" s="87" t="s">
        <v>302</v>
      </c>
      <c r="F134" s="88" t="s">
        <v>19</v>
      </c>
      <c r="G134" s="89">
        <v>112.67</v>
      </c>
      <c r="H134" s="89">
        <v>225.34</v>
      </c>
    </row>
    <row r="135" spans="2:8" ht="15">
      <c r="B135" s="61">
        <v>4823114017353</v>
      </c>
      <c r="C135" s="61" t="s">
        <v>303</v>
      </c>
      <c r="D135" s="61">
        <f ca="1">IFERROR(__xludf.DUMMYFUNCTION("VLOOKUP(SPLIT(C135,"".""),SPLIT(C135,"".""),1)"),39055)</f>
        <v>39055</v>
      </c>
      <c r="E135" s="61" t="s">
        <v>304</v>
      </c>
      <c r="F135" s="63" t="s">
        <v>19</v>
      </c>
      <c r="G135" s="27">
        <v>152.15</v>
      </c>
      <c r="H135" s="28">
        <v>304.29000000000002</v>
      </c>
    </row>
    <row r="136" spans="2:8" ht="15">
      <c r="B136" s="61">
        <v>4823114015311</v>
      </c>
      <c r="C136" s="61" t="s">
        <v>309</v>
      </c>
      <c r="D136" s="61">
        <f ca="1">IFERROR(__xludf.DUMMYFUNCTION("VLOOKUP(SPLIT(C136,"".""),SPLIT(C136,"".""),1)"),38196)</f>
        <v>38196</v>
      </c>
      <c r="E136" s="61" t="s">
        <v>310</v>
      </c>
      <c r="F136" s="63" t="s">
        <v>16</v>
      </c>
      <c r="G136" s="27">
        <v>50.72</v>
      </c>
      <c r="H136" s="28">
        <v>101.43</v>
      </c>
    </row>
    <row r="137" spans="2:8" ht="15">
      <c r="B137" s="61">
        <v>4823114015304</v>
      </c>
      <c r="C137" s="61" t="s">
        <v>311</v>
      </c>
      <c r="D137" s="61">
        <f ca="1">IFERROR(__xludf.DUMMYFUNCTION("VLOOKUP(SPLIT(C137,"".""),SPLIT(C137,"".""),1)"),38195)</f>
        <v>38195</v>
      </c>
      <c r="E137" s="61" t="s">
        <v>310</v>
      </c>
      <c r="F137" s="63" t="s">
        <v>19</v>
      </c>
      <c r="G137" s="27">
        <v>50.72</v>
      </c>
      <c r="H137" s="28">
        <v>101.43</v>
      </c>
    </row>
    <row r="138" spans="2:8" ht="15">
      <c r="B138" s="61">
        <v>4823114015366</v>
      </c>
      <c r="C138" s="61" t="s">
        <v>312</v>
      </c>
      <c r="D138" s="61">
        <f ca="1">IFERROR(__xludf.DUMMYFUNCTION("VLOOKUP(SPLIT(C138,"".""),SPLIT(C138,"".""),1)"),38191)</f>
        <v>38191</v>
      </c>
      <c r="E138" s="61" t="s">
        <v>313</v>
      </c>
      <c r="F138" s="63" t="s">
        <v>16</v>
      </c>
      <c r="G138" s="27">
        <v>98.12</v>
      </c>
      <c r="H138" s="28">
        <v>196.25</v>
      </c>
    </row>
    <row r="139" spans="2:8" ht="15">
      <c r="B139" s="61">
        <v>4823114015359</v>
      </c>
      <c r="C139" s="61" t="s">
        <v>314</v>
      </c>
      <c r="D139" s="61">
        <f ca="1">IFERROR(__xludf.DUMMYFUNCTION("VLOOKUP(SPLIT(C139,"".""),SPLIT(C139,"".""),1)"),38190)</f>
        <v>38190</v>
      </c>
      <c r="E139" s="61" t="s">
        <v>313</v>
      </c>
      <c r="F139" s="63" t="s">
        <v>19</v>
      </c>
      <c r="G139" s="27">
        <v>98.12</v>
      </c>
      <c r="H139" s="28">
        <v>196.25</v>
      </c>
    </row>
    <row r="140" spans="2:8" ht="15">
      <c r="B140" s="61">
        <v>4823114017537</v>
      </c>
      <c r="C140" s="61" t="s">
        <v>315</v>
      </c>
      <c r="D140" s="61">
        <f ca="1">IFERROR(__xludf.DUMMYFUNCTION("VLOOKUP(SPLIT(C140,"".""),SPLIT(C140,"".""),1)"),39289)</f>
        <v>39289</v>
      </c>
      <c r="E140" s="61" t="s">
        <v>316</v>
      </c>
      <c r="F140" s="63" t="s">
        <v>16</v>
      </c>
      <c r="G140" s="27">
        <v>107.94</v>
      </c>
      <c r="H140" s="28">
        <v>215.87</v>
      </c>
    </row>
    <row r="141" spans="2:8" ht="15">
      <c r="B141" s="61">
        <v>4823114017520</v>
      </c>
      <c r="C141" s="61" t="s">
        <v>317</v>
      </c>
      <c r="D141" s="61">
        <f ca="1">IFERROR(__xludf.DUMMYFUNCTION("VLOOKUP(SPLIT(C141,"".""),SPLIT(C141,"".""),1)"),39290)</f>
        <v>39290</v>
      </c>
      <c r="E141" s="61" t="s">
        <v>316</v>
      </c>
      <c r="F141" s="63" t="s">
        <v>19</v>
      </c>
      <c r="G141" s="27">
        <v>107.94</v>
      </c>
      <c r="H141" s="28">
        <v>215.87</v>
      </c>
    </row>
    <row r="142" spans="2:8" ht="15">
      <c r="B142" s="61">
        <v>4823114068126</v>
      </c>
      <c r="C142" s="61" t="s">
        <v>318</v>
      </c>
      <c r="D142" s="61">
        <f ca="1">IFERROR(__xludf.DUMMYFUNCTION("VLOOKUP(SPLIT(C142,"".""),SPLIT(C142,"".""),1)"),117743)</f>
        <v>117743</v>
      </c>
      <c r="E142" s="61" t="s">
        <v>319</v>
      </c>
      <c r="F142" s="63" t="s">
        <v>16</v>
      </c>
      <c r="G142" s="27">
        <v>98.12</v>
      </c>
      <c r="H142" s="28">
        <v>196.25</v>
      </c>
    </row>
    <row r="143" spans="2:8" ht="15">
      <c r="B143" s="61">
        <v>4823114068133</v>
      </c>
      <c r="C143" s="61" t="s">
        <v>320</v>
      </c>
      <c r="D143" s="61">
        <f ca="1">IFERROR(__xludf.DUMMYFUNCTION("VLOOKUP(SPLIT(C143,"".""),SPLIT(C143,"".""),1)"),117744)</f>
        <v>117744</v>
      </c>
      <c r="E143" s="61" t="s">
        <v>319</v>
      </c>
      <c r="F143" s="63" t="s">
        <v>19</v>
      </c>
      <c r="G143" s="27">
        <v>98.12</v>
      </c>
      <c r="H143" s="28">
        <v>196.25</v>
      </c>
    </row>
    <row r="144" spans="2:8" ht="15">
      <c r="B144" s="61">
        <v>4823114068706</v>
      </c>
      <c r="C144" s="61" t="s">
        <v>321</v>
      </c>
      <c r="D144" s="61">
        <f ca="1">IFERROR(__xludf.DUMMYFUNCTION("VLOOKUP(SPLIT(C144,"".""),SPLIT(C144,"".""),1)"),119281)</f>
        <v>119281</v>
      </c>
      <c r="E144" s="61" t="s">
        <v>322</v>
      </c>
      <c r="F144" s="63" t="s">
        <v>16</v>
      </c>
      <c r="G144" s="27">
        <v>107.94</v>
      </c>
      <c r="H144" s="28">
        <v>215.87</v>
      </c>
    </row>
    <row r="145" spans="2:8" ht="15">
      <c r="B145" s="61">
        <v>4823114068713</v>
      </c>
      <c r="C145" s="61" t="s">
        <v>323</v>
      </c>
      <c r="D145" s="61">
        <f ca="1">IFERROR(__xludf.DUMMYFUNCTION("VLOOKUP(SPLIT(C145,"".""),SPLIT(C145,"".""),1)"),119282)</f>
        <v>119282</v>
      </c>
      <c r="E145" s="61" t="s">
        <v>322</v>
      </c>
      <c r="F145" s="63" t="s">
        <v>19</v>
      </c>
      <c r="G145" s="27">
        <v>107.94</v>
      </c>
      <c r="H145" s="28">
        <v>215.87</v>
      </c>
    </row>
    <row r="146" spans="2:8" ht="15">
      <c r="B146" s="61">
        <v>4823114015113</v>
      </c>
      <c r="C146" s="61" t="s">
        <v>325</v>
      </c>
      <c r="D146" s="61">
        <f ca="1">IFERROR(__xludf.DUMMYFUNCTION("VLOOKUP(SPLIT(C146,"".""),SPLIT(C146,"".""),1)"),38248)</f>
        <v>38248</v>
      </c>
      <c r="E146" s="61" t="s">
        <v>326</v>
      </c>
      <c r="F146" s="63" t="s">
        <v>16</v>
      </c>
      <c r="G146" s="27">
        <v>67.25</v>
      </c>
      <c r="H146" s="28">
        <v>134.51</v>
      </c>
    </row>
    <row r="147" spans="2:8" ht="15">
      <c r="B147" s="61">
        <v>4823114015106</v>
      </c>
      <c r="C147" s="61" t="s">
        <v>327</v>
      </c>
      <c r="D147" s="61">
        <f ca="1">IFERROR(__xludf.DUMMYFUNCTION("VLOOKUP(SPLIT(C147,"".""),SPLIT(C147,"".""),1)"),38249)</f>
        <v>38249</v>
      </c>
      <c r="E147" s="61" t="s">
        <v>326</v>
      </c>
      <c r="F147" s="63" t="s">
        <v>19</v>
      </c>
      <c r="G147" s="27">
        <v>67.25</v>
      </c>
      <c r="H147" s="28">
        <v>134.51</v>
      </c>
    </row>
    <row r="148" spans="2:8" ht="15">
      <c r="B148" s="61">
        <v>4823114015403</v>
      </c>
      <c r="C148" s="61" t="s">
        <v>328</v>
      </c>
      <c r="D148" s="61">
        <f ca="1">IFERROR(__xludf.DUMMYFUNCTION("VLOOKUP(SPLIT(C148,"".""),SPLIT(C148,"".""),1)"),38252)</f>
        <v>38252</v>
      </c>
      <c r="E148" s="61" t="s">
        <v>329</v>
      </c>
      <c r="F148" s="63" t="s">
        <v>16</v>
      </c>
      <c r="G148" s="27">
        <v>86</v>
      </c>
      <c r="H148" s="28">
        <v>171.99</v>
      </c>
    </row>
    <row r="149" spans="2:8" ht="15">
      <c r="B149" s="61">
        <v>4823114015397</v>
      </c>
      <c r="C149" s="61" t="s">
        <v>330</v>
      </c>
      <c r="D149" s="61">
        <f ca="1">IFERROR(__xludf.DUMMYFUNCTION("VLOOKUP(SPLIT(C149,"".""),SPLIT(C149,"".""),1)"),38253)</f>
        <v>38253</v>
      </c>
      <c r="E149" s="61" t="s">
        <v>329</v>
      </c>
      <c r="F149" s="63" t="s">
        <v>19</v>
      </c>
      <c r="G149" s="27">
        <v>86</v>
      </c>
      <c r="H149" s="28">
        <v>171.99</v>
      </c>
    </row>
    <row r="150" spans="2:8" ht="15">
      <c r="B150" s="61">
        <v>4823114039720</v>
      </c>
      <c r="C150" s="61" t="s">
        <v>331</v>
      </c>
      <c r="D150" s="61">
        <f ca="1">IFERROR(__xludf.DUMMYFUNCTION("VLOOKUP(SPLIT(C150,"".""),SPLIT(C150,"".""),1)"),58454)</f>
        <v>58454</v>
      </c>
      <c r="E150" s="61" t="s">
        <v>332</v>
      </c>
      <c r="F150" s="63" t="s">
        <v>16</v>
      </c>
      <c r="G150" s="27">
        <v>206.95</v>
      </c>
      <c r="H150" s="28">
        <v>413.91</v>
      </c>
    </row>
    <row r="151" spans="2:8" ht="15">
      <c r="B151" s="61">
        <v>4823114039737</v>
      </c>
      <c r="C151" s="61" t="s">
        <v>333</v>
      </c>
      <c r="D151" s="61">
        <f ca="1">IFERROR(__xludf.DUMMYFUNCTION("VLOOKUP(SPLIT(C151,"".""),SPLIT(C151,"".""),1)"),58455)</f>
        <v>58455</v>
      </c>
      <c r="E151" s="61" t="s">
        <v>332</v>
      </c>
      <c r="F151" s="63" t="s">
        <v>19</v>
      </c>
      <c r="G151" s="27">
        <v>206.95</v>
      </c>
      <c r="H151" s="28">
        <v>413.91</v>
      </c>
    </row>
    <row r="152" spans="2:8" ht="15">
      <c r="B152" s="24">
        <v>4823114074554</v>
      </c>
      <c r="C152" s="25" t="s">
        <v>334</v>
      </c>
      <c r="D152" s="24">
        <v>99968</v>
      </c>
      <c r="E152" s="25" t="s">
        <v>335</v>
      </c>
      <c r="F152" s="26" t="s">
        <v>16</v>
      </c>
      <c r="G152" s="27">
        <v>106.17</v>
      </c>
      <c r="H152" s="28">
        <v>212.34</v>
      </c>
    </row>
    <row r="153" spans="2:8" ht="15">
      <c r="B153" s="24">
        <v>4823114074547</v>
      </c>
      <c r="C153" s="25" t="s">
        <v>336</v>
      </c>
      <c r="D153" s="24">
        <v>99967</v>
      </c>
      <c r="E153" s="25" t="s">
        <v>335</v>
      </c>
      <c r="F153" s="26" t="s">
        <v>19</v>
      </c>
      <c r="G153" s="27">
        <v>106.17</v>
      </c>
      <c r="H153" s="28">
        <v>212.34</v>
      </c>
    </row>
    <row r="154" spans="2:8" ht="15">
      <c r="B154" s="24">
        <v>4823114074561</v>
      </c>
      <c r="C154" s="25" t="s">
        <v>337</v>
      </c>
      <c r="D154" s="24">
        <v>99969</v>
      </c>
      <c r="E154" s="25" t="s">
        <v>335</v>
      </c>
      <c r="F154" s="35" t="s">
        <v>148</v>
      </c>
      <c r="G154" s="27">
        <v>106.17</v>
      </c>
      <c r="H154" s="28">
        <v>212.34</v>
      </c>
    </row>
    <row r="155" spans="2:8" ht="15">
      <c r="B155" s="61">
        <v>4823114015564</v>
      </c>
      <c r="C155" s="61" t="s">
        <v>338</v>
      </c>
      <c r="D155" s="61">
        <f ca="1">IFERROR(__xludf.DUMMYFUNCTION("VLOOKUP(SPLIT(C155,"".""),SPLIT(C155,"".""),1)"),38220)</f>
        <v>38220</v>
      </c>
      <c r="E155" s="61" t="s">
        <v>339</v>
      </c>
      <c r="F155" s="63" t="s">
        <v>16</v>
      </c>
      <c r="G155" s="27">
        <v>12.68</v>
      </c>
      <c r="H155" s="28">
        <v>25.36</v>
      </c>
    </row>
    <row r="156" spans="2:8" ht="15">
      <c r="B156" s="61">
        <v>4823114015557</v>
      </c>
      <c r="C156" s="61" t="s">
        <v>340</v>
      </c>
      <c r="D156" s="61">
        <f ca="1">IFERROR(__xludf.DUMMYFUNCTION("VLOOKUP(SPLIT(C156,"".""),SPLIT(C156,"".""),1)"),38224)</f>
        <v>38224</v>
      </c>
      <c r="E156" s="61" t="s">
        <v>339</v>
      </c>
      <c r="F156" s="63" t="s">
        <v>19</v>
      </c>
      <c r="G156" s="27">
        <v>12.68</v>
      </c>
      <c r="H156" s="28">
        <v>25.36</v>
      </c>
    </row>
    <row r="157" spans="2:8" ht="15">
      <c r="B157" s="61">
        <v>4823114015588</v>
      </c>
      <c r="C157" s="61" t="s">
        <v>341</v>
      </c>
      <c r="D157" s="61">
        <f ca="1">IFERROR(__xludf.DUMMYFUNCTION("VLOOKUP(SPLIT(C157,"".""),SPLIT(C157,"".""),1)"),38218)</f>
        <v>38218</v>
      </c>
      <c r="E157" s="61" t="s">
        <v>342</v>
      </c>
      <c r="F157" s="63" t="s">
        <v>16</v>
      </c>
      <c r="G157" s="27">
        <v>40.24</v>
      </c>
      <c r="H157" s="28">
        <v>80.48</v>
      </c>
    </row>
    <row r="158" spans="2:8" ht="15">
      <c r="B158" s="61">
        <v>4823114015571</v>
      </c>
      <c r="C158" s="61" t="s">
        <v>343</v>
      </c>
      <c r="D158" s="61">
        <f ca="1">IFERROR(__xludf.DUMMYFUNCTION("VLOOKUP(SPLIT(C158,"".""),SPLIT(C158,"".""),1)"),38222)</f>
        <v>38222</v>
      </c>
      <c r="E158" s="61" t="s">
        <v>342</v>
      </c>
      <c r="F158" s="63" t="s">
        <v>19</v>
      </c>
      <c r="G158" s="27">
        <v>40.24</v>
      </c>
      <c r="H158" s="28">
        <v>80.48</v>
      </c>
    </row>
    <row r="159" spans="2:8" ht="15">
      <c r="B159" s="61">
        <v>4823114015601</v>
      </c>
      <c r="C159" s="61" t="s">
        <v>344</v>
      </c>
      <c r="D159" s="61">
        <f ca="1">IFERROR(__xludf.DUMMYFUNCTION("VLOOKUP(SPLIT(C159,"".""),SPLIT(C159,"".""),1)"),38217)</f>
        <v>38217</v>
      </c>
      <c r="E159" s="61" t="s">
        <v>345</v>
      </c>
      <c r="F159" s="63" t="s">
        <v>16</v>
      </c>
      <c r="G159" s="27">
        <v>350.04</v>
      </c>
      <c r="H159" s="28">
        <v>700.09</v>
      </c>
    </row>
    <row r="160" spans="2:8" ht="15">
      <c r="B160" s="61">
        <v>4823114015595</v>
      </c>
      <c r="C160" s="61" t="s">
        <v>346</v>
      </c>
      <c r="D160" s="61">
        <f ca="1">IFERROR(__xludf.DUMMYFUNCTION("VLOOKUP(SPLIT(C160,"".""),SPLIT(C160,"".""),1)"),38221)</f>
        <v>38221</v>
      </c>
      <c r="E160" s="61" t="s">
        <v>345</v>
      </c>
      <c r="F160" s="63" t="s">
        <v>19</v>
      </c>
      <c r="G160" s="27">
        <v>350.04</v>
      </c>
      <c r="H160" s="28">
        <v>700.09</v>
      </c>
    </row>
    <row r="161" spans="2:8" ht="15">
      <c r="B161" s="61">
        <v>4823114015502</v>
      </c>
      <c r="C161" s="61" t="s">
        <v>347</v>
      </c>
      <c r="D161" s="61">
        <f ca="1">IFERROR(__xludf.DUMMYFUNCTION("VLOOKUP(SPLIT(C161,"".""),SPLIT(C161,"".""),1)"),38228)</f>
        <v>38228</v>
      </c>
      <c r="E161" s="61" t="s">
        <v>348</v>
      </c>
      <c r="F161" s="63" t="s">
        <v>16</v>
      </c>
      <c r="G161" s="27">
        <v>12.68</v>
      </c>
      <c r="H161" s="28">
        <v>25.36</v>
      </c>
    </row>
    <row r="162" spans="2:8" ht="15">
      <c r="B162" s="61">
        <v>4823114015496</v>
      </c>
      <c r="C162" s="61" t="s">
        <v>349</v>
      </c>
      <c r="D162" s="61">
        <f ca="1">IFERROR(__xludf.DUMMYFUNCTION("VLOOKUP(SPLIT(C162,"".""),SPLIT(C162,"".""),1)"),38232)</f>
        <v>38232</v>
      </c>
      <c r="E162" s="61" t="s">
        <v>348</v>
      </c>
      <c r="F162" s="63" t="s">
        <v>19</v>
      </c>
      <c r="G162" s="27">
        <v>12.68</v>
      </c>
      <c r="H162" s="28">
        <v>25.36</v>
      </c>
    </row>
    <row r="163" spans="2:8" ht="15">
      <c r="B163" s="61">
        <v>4823114015526</v>
      </c>
      <c r="C163" s="61" t="s">
        <v>350</v>
      </c>
      <c r="D163" s="61">
        <f ca="1">IFERROR(__xludf.DUMMYFUNCTION("VLOOKUP(SPLIT(C163,"".""),SPLIT(C163,"".""),1)"),38226)</f>
        <v>38226</v>
      </c>
      <c r="E163" s="61" t="s">
        <v>351</v>
      </c>
      <c r="F163" s="63" t="s">
        <v>16</v>
      </c>
      <c r="G163" s="27">
        <v>43</v>
      </c>
      <c r="H163" s="28">
        <v>86</v>
      </c>
    </row>
    <row r="164" spans="2:8" ht="15">
      <c r="B164" s="61">
        <v>4823114015519</v>
      </c>
      <c r="C164" s="61" t="s">
        <v>352</v>
      </c>
      <c r="D164" s="61">
        <f ca="1">IFERROR(__xludf.DUMMYFUNCTION("VLOOKUP(SPLIT(C164,"".""),SPLIT(C164,"".""),1)"),38230)</f>
        <v>38230</v>
      </c>
      <c r="E164" s="61" t="s">
        <v>351</v>
      </c>
      <c r="F164" s="63" t="s">
        <v>19</v>
      </c>
      <c r="G164" s="27">
        <v>43</v>
      </c>
      <c r="H164" s="28">
        <v>86</v>
      </c>
    </row>
    <row r="165" spans="2:8" ht="15">
      <c r="B165" s="61">
        <v>4823114015540</v>
      </c>
      <c r="C165" s="61" t="s">
        <v>353</v>
      </c>
      <c r="D165" s="61">
        <f ca="1">IFERROR(__xludf.DUMMYFUNCTION("VLOOKUP(SPLIT(C165,"".""),SPLIT(C165,"".""),1)"),38225)</f>
        <v>38225</v>
      </c>
      <c r="E165" s="61" t="s">
        <v>354</v>
      </c>
      <c r="F165" s="63" t="s">
        <v>16</v>
      </c>
      <c r="G165" s="27">
        <v>396.35</v>
      </c>
      <c r="H165" s="28">
        <v>792.7</v>
      </c>
    </row>
    <row r="166" spans="2:8" ht="15">
      <c r="B166" s="61">
        <v>4823114015533</v>
      </c>
      <c r="C166" s="61" t="s">
        <v>355</v>
      </c>
      <c r="D166" s="61">
        <f ca="1">IFERROR(__xludf.DUMMYFUNCTION("VLOOKUP(SPLIT(C166,"".""),SPLIT(C166,"".""),1)"),38229)</f>
        <v>38229</v>
      </c>
      <c r="E166" s="61" t="s">
        <v>354</v>
      </c>
      <c r="F166" s="63" t="s">
        <v>19</v>
      </c>
      <c r="G166" s="27">
        <v>396.35</v>
      </c>
      <c r="H166" s="28">
        <v>792.7</v>
      </c>
    </row>
    <row r="167" spans="2:8" ht="15">
      <c r="B167" s="61">
        <v>4823114014987</v>
      </c>
      <c r="C167" s="61" t="s">
        <v>356</v>
      </c>
      <c r="D167" s="61">
        <f ca="1">IFERROR(__xludf.DUMMYFUNCTION("VLOOKUP(SPLIT(C167,"".""),SPLIT(C167,"".""),1)"),38094)</f>
        <v>38094</v>
      </c>
      <c r="E167" s="61" t="s">
        <v>357</v>
      </c>
      <c r="F167" s="63" t="s">
        <v>16</v>
      </c>
      <c r="G167" s="27">
        <v>20.95</v>
      </c>
      <c r="H167" s="28">
        <v>41.9</v>
      </c>
    </row>
    <row r="168" spans="2:8" ht="15">
      <c r="B168" s="61">
        <v>4823114014970</v>
      </c>
      <c r="C168" s="61" t="s">
        <v>358</v>
      </c>
      <c r="D168" s="61">
        <f ca="1">IFERROR(__xludf.DUMMYFUNCTION("VLOOKUP(SPLIT(C168,"".""),SPLIT(C168,"".""),1)"),38095)</f>
        <v>38095</v>
      </c>
      <c r="E168" s="61" t="s">
        <v>357</v>
      </c>
      <c r="F168" s="63" t="s">
        <v>19</v>
      </c>
      <c r="G168" s="27">
        <v>20.95</v>
      </c>
      <c r="H168" s="28">
        <v>41.9</v>
      </c>
    </row>
    <row r="169" spans="2:8" ht="15">
      <c r="B169" s="61">
        <v>4823114014901</v>
      </c>
      <c r="C169" s="61" t="s">
        <v>359</v>
      </c>
      <c r="D169" s="61">
        <f ca="1">IFERROR(__xludf.DUMMYFUNCTION("VLOOKUP(SPLIT(C169,"".""),SPLIT(C169,"".""),1)"),38102)</f>
        <v>38102</v>
      </c>
      <c r="E169" s="61" t="s">
        <v>360</v>
      </c>
      <c r="F169" s="63" t="s">
        <v>16</v>
      </c>
      <c r="G169" s="27">
        <v>20.95</v>
      </c>
      <c r="H169" s="28">
        <v>41.9</v>
      </c>
    </row>
    <row r="170" spans="2:8" ht="15">
      <c r="B170" s="61">
        <v>4823114014895</v>
      </c>
      <c r="C170" s="61" t="s">
        <v>361</v>
      </c>
      <c r="D170" s="61">
        <f ca="1">IFERROR(__xludf.DUMMYFUNCTION("VLOOKUP(SPLIT(C170,"".""),SPLIT(C170,"".""),1)"),38103)</f>
        <v>38103</v>
      </c>
      <c r="E170" s="61" t="s">
        <v>360</v>
      </c>
      <c r="F170" s="63" t="s">
        <v>19</v>
      </c>
      <c r="G170" s="27">
        <v>20.95</v>
      </c>
      <c r="H170" s="28">
        <v>41.9</v>
      </c>
    </row>
    <row r="171" spans="2:8" ht="15">
      <c r="B171" s="61">
        <v>4823114015014</v>
      </c>
      <c r="C171" s="144" t="s">
        <v>362</v>
      </c>
      <c r="D171" s="61">
        <f ca="1">IFERROR(__xludf.DUMMYFUNCTION("VLOOKUP(SPLIT(C171,"".""),SPLIT(C171,"".""),1)"),38214)</f>
        <v>38214</v>
      </c>
      <c r="E171" s="61" t="s">
        <v>363</v>
      </c>
      <c r="F171" s="63" t="s">
        <v>16</v>
      </c>
      <c r="G171" s="27">
        <v>3.53</v>
      </c>
      <c r="H171" s="28">
        <v>6.62</v>
      </c>
    </row>
    <row r="172" spans="2:8" ht="15">
      <c r="B172" s="61">
        <v>4823114015007</v>
      </c>
      <c r="C172" s="61" t="s">
        <v>364</v>
      </c>
      <c r="D172" s="61">
        <f ca="1">IFERROR(__xludf.DUMMYFUNCTION("VLOOKUP(SPLIT(C172,"".""),SPLIT(C172,"".""),1)"),38215)</f>
        <v>38215</v>
      </c>
      <c r="E172" s="61" t="s">
        <v>363</v>
      </c>
      <c r="F172" s="63" t="s">
        <v>19</v>
      </c>
      <c r="G172" s="27">
        <v>3.53</v>
      </c>
      <c r="H172" s="28">
        <v>6.62</v>
      </c>
    </row>
    <row r="173" spans="2:8" ht="15">
      <c r="B173" s="61">
        <v>4823114015786</v>
      </c>
      <c r="C173" s="61" t="s">
        <v>365</v>
      </c>
      <c r="D173" s="61">
        <f ca="1">IFERROR(__xludf.DUMMYFUNCTION("VLOOKUP(SPLIT(C173,"".""),SPLIT(C173,"".""),1)"),38167)</f>
        <v>38167</v>
      </c>
      <c r="E173" s="61" t="s">
        <v>366</v>
      </c>
      <c r="F173" s="63" t="s">
        <v>16</v>
      </c>
      <c r="G173" s="27">
        <v>20.95</v>
      </c>
      <c r="H173" s="28">
        <v>41.9</v>
      </c>
    </row>
    <row r="174" spans="2:8" ht="15">
      <c r="B174" s="61">
        <v>4823114015779</v>
      </c>
      <c r="C174" s="61" t="s">
        <v>367</v>
      </c>
      <c r="D174" s="61">
        <f ca="1">IFERROR(__xludf.DUMMYFUNCTION("VLOOKUP(SPLIT(C174,"".""),SPLIT(C174,"".""),1)"),38166)</f>
        <v>38166</v>
      </c>
      <c r="E174" s="61" t="s">
        <v>366</v>
      </c>
      <c r="F174" s="63" t="s">
        <v>19</v>
      </c>
      <c r="G174" s="27">
        <v>20.95</v>
      </c>
      <c r="H174" s="28">
        <v>41.9</v>
      </c>
    </row>
    <row r="175" spans="2:8" ht="15">
      <c r="B175" s="80">
        <v>4823114060861</v>
      </c>
      <c r="C175" s="80" t="s">
        <v>369</v>
      </c>
      <c r="D175" s="80">
        <v>87531</v>
      </c>
      <c r="E175" s="80" t="s">
        <v>370</v>
      </c>
      <c r="F175" s="81" t="s">
        <v>16</v>
      </c>
      <c r="G175" s="29">
        <v>94.09</v>
      </c>
      <c r="H175" s="29">
        <v>188.18</v>
      </c>
    </row>
    <row r="176" spans="2:8" ht="15">
      <c r="B176" s="61">
        <v>4823114060878</v>
      </c>
      <c r="C176" s="61" t="s">
        <v>371</v>
      </c>
      <c r="D176" s="61">
        <v>87530</v>
      </c>
      <c r="E176" s="61" t="s">
        <v>370</v>
      </c>
      <c r="F176" s="63" t="s">
        <v>19</v>
      </c>
      <c r="G176" s="29">
        <v>94.09</v>
      </c>
      <c r="H176" s="29">
        <v>188.18</v>
      </c>
    </row>
    <row r="177" spans="2:8" ht="15">
      <c r="B177" s="61">
        <v>4823114015663</v>
      </c>
      <c r="C177" s="61" t="s">
        <v>372</v>
      </c>
      <c r="D177" s="61">
        <f ca="1">IFERROR(__xludf.DUMMYFUNCTION("VLOOKUP(SPLIT(C177,"".""),SPLIT(C177,"".""),1)"),38179)</f>
        <v>38179</v>
      </c>
      <c r="E177" s="61" t="s">
        <v>373</v>
      </c>
      <c r="F177" s="63" t="s">
        <v>16</v>
      </c>
      <c r="G177" s="27">
        <v>84.89</v>
      </c>
      <c r="H177" s="28">
        <v>169.79</v>
      </c>
    </row>
    <row r="178" spans="2:8" ht="15">
      <c r="B178" s="61">
        <v>4823114015656</v>
      </c>
      <c r="C178" s="61" t="s">
        <v>374</v>
      </c>
      <c r="D178" s="61">
        <f ca="1">IFERROR(__xludf.DUMMYFUNCTION("VLOOKUP(SPLIT(C178,"".""),SPLIT(C178,"".""),1)"),38178)</f>
        <v>38178</v>
      </c>
      <c r="E178" s="61" t="s">
        <v>373</v>
      </c>
      <c r="F178" s="63" t="s">
        <v>19</v>
      </c>
      <c r="G178" s="27">
        <v>84.89</v>
      </c>
      <c r="H178" s="28">
        <v>169.79</v>
      </c>
    </row>
    <row r="179" spans="2:8" ht="15">
      <c r="B179" s="61">
        <v>4823114014826</v>
      </c>
      <c r="C179" s="61" t="s">
        <v>375</v>
      </c>
      <c r="D179" s="61">
        <f ca="1">IFERROR(__xludf.DUMMYFUNCTION("VLOOKUP(SPLIT(C179,"".""),SPLIT(C179,"".""),1)"),38110)</f>
        <v>38110</v>
      </c>
      <c r="E179" s="61" t="s">
        <v>376</v>
      </c>
      <c r="F179" s="63" t="s">
        <v>16</v>
      </c>
      <c r="G179" s="27">
        <v>43</v>
      </c>
      <c r="H179" s="28">
        <v>86</v>
      </c>
    </row>
    <row r="180" spans="2:8" ht="15">
      <c r="B180" s="61">
        <v>4823114014819</v>
      </c>
      <c r="C180" s="61" t="s">
        <v>377</v>
      </c>
      <c r="D180" s="61">
        <f ca="1">IFERROR(__xludf.DUMMYFUNCTION("VLOOKUP(SPLIT(C180,"".""),SPLIT(C180,"".""),1)"),38111)</f>
        <v>38111</v>
      </c>
      <c r="E180" s="61" t="s">
        <v>376</v>
      </c>
      <c r="F180" s="63" t="s">
        <v>19</v>
      </c>
      <c r="G180" s="27">
        <v>43</v>
      </c>
      <c r="H180" s="28">
        <v>86</v>
      </c>
    </row>
    <row r="181" spans="2:8" ht="15">
      <c r="B181" s="61">
        <v>4823114015649</v>
      </c>
      <c r="C181" s="61" t="s">
        <v>378</v>
      </c>
      <c r="D181" s="61">
        <f ca="1">IFERROR(__xludf.DUMMYFUNCTION("VLOOKUP(SPLIT(C181,"".""),SPLIT(C181,"".""),1)"),38181)</f>
        <v>38181</v>
      </c>
      <c r="E181" s="61" t="s">
        <v>379</v>
      </c>
      <c r="F181" s="63" t="s">
        <v>16</v>
      </c>
      <c r="G181" s="27">
        <v>86</v>
      </c>
      <c r="H181" s="28">
        <v>171.99</v>
      </c>
    </row>
    <row r="182" spans="2:8" ht="15">
      <c r="B182" s="61">
        <v>4823114015632</v>
      </c>
      <c r="C182" s="61" t="s">
        <v>380</v>
      </c>
      <c r="D182" s="61">
        <f ca="1">IFERROR(__xludf.DUMMYFUNCTION("VLOOKUP(SPLIT(C182,"".""),SPLIT(C182,"".""),1)"),38180)</f>
        <v>38180</v>
      </c>
      <c r="E182" s="61" t="s">
        <v>379</v>
      </c>
      <c r="F182" s="63" t="s">
        <v>19</v>
      </c>
      <c r="G182" s="27">
        <v>86</v>
      </c>
      <c r="H182" s="28">
        <v>171.99</v>
      </c>
    </row>
    <row r="183" spans="2:8" ht="15">
      <c r="B183" s="61">
        <v>4823114017469</v>
      </c>
      <c r="C183" s="61" t="s">
        <v>381</v>
      </c>
      <c r="D183" s="61">
        <f ca="1">IFERROR(__xludf.DUMMYFUNCTION("VLOOKUP(SPLIT(C183,"".""),SPLIT(C183,"".""),1)"),39278)</f>
        <v>39278</v>
      </c>
      <c r="E183" s="61" t="s">
        <v>382</v>
      </c>
      <c r="F183" s="63" t="s">
        <v>16</v>
      </c>
      <c r="G183" s="27">
        <v>56.23</v>
      </c>
      <c r="H183" s="28">
        <v>112.46</v>
      </c>
    </row>
    <row r="184" spans="2:8" ht="15">
      <c r="B184" s="61">
        <v>4823114017476</v>
      </c>
      <c r="C184" s="61" t="s">
        <v>383</v>
      </c>
      <c r="D184" s="61">
        <f ca="1">IFERROR(__xludf.DUMMYFUNCTION("VLOOKUP(SPLIT(C184,"".""),SPLIT(C184,"".""),1)"),39279)</f>
        <v>39279</v>
      </c>
      <c r="E184" s="61" t="s">
        <v>382</v>
      </c>
      <c r="F184" s="63" t="s">
        <v>19</v>
      </c>
      <c r="G184" s="27">
        <v>56.23</v>
      </c>
      <c r="H184" s="28">
        <v>112.46</v>
      </c>
    </row>
    <row r="185" spans="2:8" ht="15">
      <c r="B185" s="61">
        <v>4823114015465</v>
      </c>
      <c r="C185" s="61" t="s">
        <v>384</v>
      </c>
      <c r="D185" s="61">
        <f ca="1">IFERROR(__xludf.DUMMYFUNCTION("VLOOKUP(SPLIT(C185,"".""),SPLIT(C185,"".""),1)"),38187)</f>
        <v>38187</v>
      </c>
      <c r="E185" s="61" t="s">
        <v>385</v>
      </c>
      <c r="F185" s="63" t="s">
        <v>16</v>
      </c>
      <c r="G185" s="27">
        <v>88.2</v>
      </c>
      <c r="H185" s="28">
        <v>176.4</v>
      </c>
    </row>
    <row r="186" spans="2:8" ht="15">
      <c r="B186" s="61">
        <v>4823114015458</v>
      </c>
      <c r="C186" s="61" t="s">
        <v>386</v>
      </c>
      <c r="D186" s="61">
        <f ca="1">IFERROR(__xludf.DUMMYFUNCTION("VLOOKUP(SPLIT(C186,"".""),SPLIT(C186,"".""),1)"),38186)</f>
        <v>38186</v>
      </c>
      <c r="E186" s="61" t="s">
        <v>385</v>
      </c>
      <c r="F186" s="63" t="s">
        <v>19</v>
      </c>
      <c r="G186" s="27">
        <v>88.2</v>
      </c>
      <c r="H186" s="28">
        <v>176.4</v>
      </c>
    </row>
    <row r="187" spans="2:8" ht="15">
      <c r="B187" s="61">
        <v>4823114015441</v>
      </c>
      <c r="C187" s="61" t="s">
        <v>387</v>
      </c>
      <c r="D187" s="61">
        <f ca="1">IFERROR(__xludf.DUMMYFUNCTION("VLOOKUP(SPLIT(C187,"".""),SPLIT(C187,"".""),1)"),38188)</f>
        <v>38188</v>
      </c>
      <c r="E187" s="61" t="s">
        <v>388</v>
      </c>
      <c r="F187" s="63" t="s">
        <v>25</v>
      </c>
      <c r="G187" s="27">
        <v>72.209999999999994</v>
      </c>
      <c r="H187" s="28">
        <v>144.43</v>
      </c>
    </row>
    <row r="188" spans="2:8" ht="15">
      <c r="B188" s="61">
        <v>4823114015489</v>
      </c>
      <c r="C188" s="151" t="s">
        <v>389</v>
      </c>
      <c r="D188" s="61">
        <f ca="1">IFERROR(__xludf.DUMMYFUNCTION("VLOOKUP(SPLIT(C189,"".""),SPLIT(C189,"".""),1)"),38201)</f>
        <v>38201</v>
      </c>
      <c r="E188" s="61" t="s">
        <v>390</v>
      </c>
      <c r="F188" s="63" t="s">
        <v>25</v>
      </c>
      <c r="G188" s="27">
        <v>34.18</v>
      </c>
      <c r="H188" s="28">
        <v>68.36</v>
      </c>
    </row>
    <row r="189" spans="2:8" ht="15">
      <c r="B189" s="61">
        <v>4823114015267</v>
      </c>
      <c r="C189" s="61" t="s">
        <v>391</v>
      </c>
      <c r="D189" s="61">
        <f ca="1">IFERROR(__xludf.DUMMYFUNCTION("VLOOKUP(SPLIT(C189,"".""),SPLIT(C189,"".""),1)"),38201)</f>
        <v>38201</v>
      </c>
      <c r="E189" s="61" t="s">
        <v>392</v>
      </c>
      <c r="F189" s="63" t="s">
        <v>16</v>
      </c>
      <c r="G189" s="27">
        <v>108.05</v>
      </c>
      <c r="H189" s="28">
        <v>216.09</v>
      </c>
    </row>
    <row r="190" spans="2:8" ht="15">
      <c r="B190" s="61">
        <v>4823114015250</v>
      </c>
      <c r="C190" s="61" t="s">
        <v>393</v>
      </c>
      <c r="D190" s="61">
        <f ca="1">IFERROR(__xludf.DUMMYFUNCTION("VLOOKUP(SPLIT(C190,"".""),SPLIT(C190,"".""),1)"),38200)</f>
        <v>38200</v>
      </c>
      <c r="E190" s="61" t="s">
        <v>392</v>
      </c>
      <c r="F190" s="63" t="s">
        <v>19</v>
      </c>
      <c r="G190" s="27">
        <v>108.05</v>
      </c>
      <c r="H190" s="28">
        <v>216.09</v>
      </c>
    </row>
    <row r="191" spans="2:8" ht="15">
      <c r="B191" s="61">
        <v>4823114015243</v>
      </c>
      <c r="C191" s="86" t="s">
        <v>394</v>
      </c>
      <c r="D191" s="61">
        <f ca="1">IFERROR(__xludf.DUMMYFUNCTION("VLOOKUP(SPLIT(C191,"".""),SPLIT(C191,"".""),1)"),38202)</f>
        <v>38202</v>
      </c>
      <c r="E191" s="61" t="s">
        <v>395</v>
      </c>
      <c r="F191" s="63" t="s">
        <v>25</v>
      </c>
      <c r="G191" s="27">
        <v>47.41</v>
      </c>
      <c r="H191" s="28">
        <v>94.82</v>
      </c>
    </row>
    <row r="192" spans="2:8" ht="15">
      <c r="B192" s="61">
        <v>4823114015472</v>
      </c>
      <c r="C192" s="61" t="s">
        <v>396</v>
      </c>
      <c r="D192" s="61">
        <f ca="1">IFERROR(__xludf.DUMMYFUNCTION("VLOOKUP(SPLIT(C192,"".""),SPLIT(C192,"".""),1)"),38185)</f>
        <v>38185</v>
      </c>
      <c r="E192" s="61" t="s">
        <v>397</v>
      </c>
      <c r="F192" s="63" t="s">
        <v>25</v>
      </c>
      <c r="G192" s="27">
        <v>25.36</v>
      </c>
      <c r="H192" s="28">
        <v>50.72</v>
      </c>
    </row>
    <row r="193" spans="2:8" ht="15">
      <c r="B193" s="61">
        <v>4823114015038</v>
      </c>
      <c r="C193" s="61" t="s">
        <v>399</v>
      </c>
      <c r="D193" s="61">
        <f ca="1">IFERROR(__xludf.DUMMYFUNCTION("VLOOKUP(SPLIT(C193,"".""),SPLIT(C193,"".""),1)"),38212)</f>
        <v>38212</v>
      </c>
      <c r="E193" s="61" t="s">
        <v>400</v>
      </c>
      <c r="F193" s="63" t="s">
        <v>25</v>
      </c>
      <c r="G193" s="27">
        <v>17.64</v>
      </c>
      <c r="H193" s="27">
        <v>35.28</v>
      </c>
    </row>
    <row r="194" spans="2:8" ht="15">
      <c r="B194" s="61">
        <v>4823114036989</v>
      </c>
      <c r="C194" s="153" t="s">
        <v>401</v>
      </c>
      <c r="D194" s="61">
        <f ca="1">IFERROR(__xludf.DUMMYFUNCTION("VLOOKUP(SPLIT(C194,"".""),SPLIT(C194,"".""),1)"),59359)</f>
        <v>59359</v>
      </c>
      <c r="E194" s="61" t="s">
        <v>402</v>
      </c>
      <c r="F194" s="63" t="s">
        <v>25</v>
      </c>
      <c r="G194" s="27">
        <v>17.64</v>
      </c>
      <c r="H194" s="27">
        <v>35.28</v>
      </c>
    </row>
    <row r="195" spans="2:8" ht="15">
      <c r="B195" s="61">
        <v>4823114015021</v>
      </c>
      <c r="C195" s="61" t="s">
        <v>403</v>
      </c>
      <c r="D195" s="61">
        <f ca="1">IFERROR(__xludf.DUMMYFUNCTION("VLOOKUP(SPLIT(C195,"".""),SPLIT(C195,"".""),1)"),38213)</f>
        <v>38213</v>
      </c>
      <c r="E195" s="61" t="s">
        <v>404</v>
      </c>
      <c r="F195" s="63" t="s">
        <v>25</v>
      </c>
      <c r="G195" s="27">
        <v>17.64</v>
      </c>
      <c r="H195" s="27">
        <v>35.28</v>
      </c>
    </row>
    <row r="196" spans="2:8" ht="15">
      <c r="B196" s="87">
        <v>4823114063077</v>
      </c>
      <c r="C196" s="87" t="s">
        <v>406</v>
      </c>
      <c r="D196" s="61">
        <f ca="1">IFERROR(__xludf.DUMMYFUNCTION("VLOOKUP(SPLIT(C196,"".""),SPLIT(C196,"".""),1)"),104117)</f>
        <v>104117</v>
      </c>
      <c r="E196" s="87" t="s">
        <v>407</v>
      </c>
      <c r="F196" s="88" t="s">
        <v>16</v>
      </c>
      <c r="G196" s="77">
        <v>13.05</v>
      </c>
      <c r="H196" s="155">
        <v>26.1</v>
      </c>
    </row>
    <row r="197" spans="2:8" ht="15">
      <c r="B197" s="32">
        <v>4823114069956</v>
      </c>
      <c r="C197" s="33" t="s">
        <v>409</v>
      </c>
      <c r="D197" s="87">
        <f ca="1">IFERROR(__xludf.DUMMYFUNCTION("VLOOKUP(SPLIT(C197,"".""),SPLIT(C197,"".""),1)"),121874)</f>
        <v>121874</v>
      </c>
      <c r="E197" s="34" t="s">
        <v>410</v>
      </c>
      <c r="F197" s="35" t="s">
        <v>16</v>
      </c>
      <c r="G197" s="160">
        <v>81.14</v>
      </c>
      <c r="H197" s="160">
        <v>162.28</v>
      </c>
    </row>
    <row r="198" spans="2:8" ht="15">
      <c r="B198" s="61">
        <v>4823114066955</v>
      </c>
      <c r="C198" s="61" t="s">
        <v>460</v>
      </c>
      <c r="D198" s="61">
        <v>111567</v>
      </c>
      <c r="E198" s="25" t="s">
        <v>461</v>
      </c>
      <c r="F198" s="175" t="s">
        <v>16</v>
      </c>
      <c r="G198" s="26">
        <v>147.54</v>
      </c>
      <c r="H198" s="176">
        <v>295.08</v>
      </c>
    </row>
    <row r="199" spans="2:8" ht="15">
      <c r="B199" s="61">
        <v>4823114066962</v>
      </c>
      <c r="C199" s="61" t="s">
        <v>462</v>
      </c>
      <c r="D199" s="61">
        <v>111566</v>
      </c>
      <c r="E199" s="177" t="s">
        <v>461</v>
      </c>
      <c r="F199" s="178" t="s">
        <v>19</v>
      </c>
      <c r="G199" s="26">
        <v>147.54</v>
      </c>
      <c r="H199" s="176">
        <v>295.08</v>
      </c>
    </row>
    <row r="200" spans="2:8" ht="15">
      <c r="B200" s="61">
        <v>4823114066146</v>
      </c>
      <c r="C200" s="61" t="s">
        <v>464</v>
      </c>
      <c r="D200" s="61">
        <v>66391</v>
      </c>
      <c r="E200" s="25" t="s">
        <v>465</v>
      </c>
      <c r="F200" s="175" t="s">
        <v>16</v>
      </c>
      <c r="G200" s="27">
        <v>177.05</v>
      </c>
      <c r="H200" s="28">
        <v>354.1</v>
      </c>
    </row>
    <row r="201" spans="2:8" ht="15">
      <c r="B201" s="61">
        <v>4823114066153</v>
      </c>
      <c r="C201" s="61" t="s">
        <v>466</v>
      </c>
      <c r="D201" s="61">
        <v>66392</v>
      </c>
      <c r="E201" s="25" t="s">
        <v>465</v>
      </c>
      <c r="F201" s="179" t="s">
        <v>148</v>
      </c>
      <c r="G201" s="27">
        <v>177.05</v>
      </c>
      <c r="H201" s="28">
        <v>354.1</v>
      </c>
    </row>
    <row r="202" spans="2:8" ht="15">
      <c r="B202" s="61">
        <v>4823114066160</v>
      </c>
      <c r="C202" s="61" t="s">
        <v>467</v>
      </c>
      <c r="D202" s="61">
        <v>66393</v>
      </c>
      <c r="E202" s="180" t="s">
        <v>465</v>
      </c>
      <c r="F202" s="181" t="s">
        <v>468</v>
      </c>
      <c r="G202" s="27">
        <v>177.05</v>
      </c>
      <c r="H202" s="28">
        <v>354.1</v>
      </c>
    </row>
    <row r="203" spans="2:8" ht="15">
      <c r="B203" s="61">
        <v>4823114066139</v>
      </c>
      <c r="C203" s="61" t="s">
        <v>469</v>
      </c>
      <c r="D203" s="61">
        <v>66390</v>
      </c>
      <c r="E203" s="180" t="s">
        <v>465</v>
      </c>
      <c r="F203" s="35" t="s">
        <v>19</v>
      </c>
      <c r="G203" s="27">
        <v>177.05</v>
      </c>
      <c r="H203" s="28">
        <v>354.1</v>
      </c>
    </row>
    <row r="204" spans="2:8" ht="15">
      <c r="B204" s="287" t="s">
        <v>1156</v>
      </c>
      <c r="C204" s="33" t="s">
        <v>470</v>
      </c>
      <c r="D204" s="83">
        <f ca="1">IFERROR(__xludf.DUMMYFUNCTION("VLOOKUP(SPLIT(C204,"".""),SPLIT(C204,"".""),1)"),64924)</f>
        <v>64924</v>
      </c>
      <c r="E204" s="177" t="s">
        <v>1157</v>
      </c>
      <c r="F204" s="178" t="s">
        <v>16</v>
      </c>
      <c r="G204" s="71">
        <v>106.92</v>
      </c>
      <c r="H204" s="71">
        <v>213.84</v>
      </c>
    </row>
    <row r="205" spans="2:8" ht="15">
      <c r="B205" s="287" t="s">
        <v>1158</v>
      </c>
      <c r="C205" s="33" t="s">
        <v>472</v>
      </c>
      <c r="D205" s="83">
        <f ca="1">IFERROR(__xludf.DUMMYFUNCTION("VLOOKUP(SPLIT(C205,"".""),SPLIT(C205,"".""),1)"),64923)</f>
        <v>64923</v>
      </c>
      <c r="E205" s="177" t="s">
        <v>1157</v>
      </c>
      <c r="F205" s="178" t="s">
        <v>19</v>
      </c>
      <c r="G205" s="71">
        <v>106.92</v>
      </c>
      <c r="H205" s="71">
        <v>213.84</v>
      </c>
    </row>
    <row r="206" spans="2:8" ht="15">
      <c r="B206" s="287" t="s">
        <v>1159</v>
      </c>
      <c r="C206" s="33" t="s">
        <v>473</v>
      </c>
      <c r="D206" s="83">
        <f ca="1">IFERROR(__xludf.DUMMYFUNCTION("VLOOKUP(SPLIT(C206,"".""),SPLIT(C206,"".""),1)"),64926)</f>
        <v>64926</v>
      </c>
      <c r="E206" s="177" t="s">
        <v>1160</v>
      </c>
      <c r="F206" s="178" t="s">
        <v>16</v>
      </c>
      <c r="G206" s="71">
        <v>106.92</v>
      </c>
      <c r="H206" s="71">
        <v>213.84</v>
      </c>
    </row>
    <row r="207" spans="2:8" ht="15">
      <c r="B207" s="287" t="s">
        <v>1161</v>
      </c>
      <c r="C207" s="33" t="s">
        <v>475</v>
      </c>
      <c r="D207" s="83">
        <f ca="1">IFERROR(__xludf.DUMMYFUNCTION("VLOOKUP(SPLIT(C207,"".""),SPLIT(C207,"".""),1)"),64925)</f>
        <v>64925</v>
      </c>
      <c r="E207" s="177" t="s">
        <v>1160</v>
      </c>
      <c r="F207" s="178" t="s">
        <v>19</v>
      </c>
      <c r="G207" s="71">
        <v>106.92</v>
      </c>
      <c r="H207" s="71">
        <v>213.84</v>
      </c>
    </row>
    <row r="208" spans="2:8" ht="15">
      <c r="B208" s="287" t="s">
        <v>1162</v>
      </c>
      <c r="C208" s="33" t="s">
        <v>476</v>
      </c>
      <c r="D208" s="83">
        <f ca="1">IFERROR(__xludf.DUMMYFUNCTION("VLOOKUP(SPLIT(C208,"".""),SPLIT(C208,"".""),1)"),64928)</f>
        <v>64928</v>
      </c>
      <c r="E208" s="177" t="s">
        <v>1163</v>
      </c>
      <c r="F208" s="178" t="s">
        <v>16</v>
      </c>
      <c r="G208" s="71">
        <v>142.56</v>
      </c>
      <c r="H208" s="71">
        <v>285.12</v>
      </c>
    </row>
    <row r="209" spans="2:8" ht="15">
      <c r="B209" s="287" t="s">
        <v>1164</v>
      </c>
      <c r="C209" s="33" t="s">
        <v>478</v>
      </c>
      <c r="D209" s="83">
        <f ca="1">IFERROR(__xludf.DUMMYFUNCTION("VLOOKUP(SPLIT(C209,"".""),SPLIT(C209,"".""),1)"),64927)</f>
        <v>64927</v>
      </c>
      <c r="E209" s="177" t="s">
        <v>1163</v>
      </c>
      <c r="F209" s="178" t="s">
        <v>19</v>
      </c>
      <c r="G209" s="71">
        <v>142.56</v>
      </c>
      <c r="H209" s="71">
        <v>285.12</v>
      </c>
    </row>
    <row r="210" spans="2:8" ht="15">
      <c r="B210" s="287" t="s">
        <v>1165</v>
      </c>
      <c r="C210" s="33" t="s">
        <v>479</v>
      </c>
      <c r="D210" s="83">
        <f ca="1">IFERROR(__xludf.DUMMYFUNCTION("VLOOKUP(SPLIT(C210,"".""),SPLIT(C210,"".""),1)"),64930)</f>
        <v>64930</v>
      </c>
      <c r="E210" s="177" t="s">
        <v>1166</v>
      </c>
      <c r="F210" s="178" t="s">
        <v>16</v>
      </c>
      <c r="G210" s="71">
        <v>142.56</v>
      </c>
      <c r="H210" s="71">
        <v>285.12</v>
      </c>
    </row>
    <row r="211" spans="2:8" ht="15">
      <c r="B211" s="287" t="s">
        <v>1167</v>
      </c>
      <c r="C211" s="33" t="s">
        <v>481</v>
      </c>
      <c r="D211" s="83">
        <f ca="1">IFERROR(__xludf.DUMMYFUNCTION("VLOOKUP(SPLIT(C211,"".""),SPLIT(C211,"".""),1)"),64929)</f>
        <v>64929</v>
      </c>
      <c r="E211" s="177" t="s">
        <v>1166</v>
      </c>
      <c r="F211" s="178" t="s">
        <v>19</v>
      </c>
      <c r="G211" s="71">
        <v>142.56</v>
      </c>
      <c r="H211" s="71">
        <v>285.12</v>
      </c>
    </row>
    <row r="212" spans="2:8" ht="15">
      <c r="B212" s="288" t="s">
        <v>1168</v>
      </c>
      <c r="C212" s="289" t="s">
        <v>482</v>
      </c>
      <c r="D212" s="83">
        <f ca="1">IFERROR(__xludf.DUMMYFUNCTION("VLOOKUP(SPLIT(C212,"".""),SPLIT(C212,"".""),1)"),79024)</f>
        <v>79024</v>
      </c>
      <c r="E212" s="177" t="s">
        <v>1169</v>
      </c>
      <c r="F212" s="178" t="s">
        <v>16</v>
      </c>
      <c r="G212" s="71">
        <v>106.92</v>
      </c>
      <c r="H212" s="71">
        <v>213.84</v>
      </c>
    </row>
    <row r="213" spans="2:8" ht="15">
      <c r="B213" s="288" t="s">
        <v>1170</v>
      </c>
      <c r="C213" s="289" t="s">
        <v>484</v>
      </c>
      <c r="D213" s="83">
        <f ca="1">IFERROR(__xludf.DUMMYFUNCTION("VLOOKUP(SPLIT(C213,"".""),SPLIT(C213,"".""),1)"),79028)</f>
        <v>79028</v>
      </c>
      <c r="E213" s="177" t="s">
        <v>1169</v>
      </c>
      <c r="F213" s="178" t="s">
        <v>19</v>
      </c>
      <c r="G213" s="71">
        <v>106.92</v>
      </c>
      <c r="H213" s="71">
        <v>213.84</v>
      </c>
    </row>
    <row r="214" spans="2:8" ht="15">
      <c r="B214" s="288" t="s">
        <v>1171</v>
      </c>
      <c r="C214" s="289" t="s">
        <v>485</v>
      </c>
      <c r="D214" s="83">
        <f ca="1">IFERROR(__xludf.DUMMYFUNCTION("VLOOKUP(SPLIT(C214,"".""),SPLIT(C214,"".""),1)"),79025)</f>
        <v>79025</v>
      </c>
      <c r="E214" s="177" t="s">
        <v>1172</v>
      </c>
      <c r="F214" s="178" t="s">
        <v>16</v>
      </c>
      <c r="G214" s="71">
        <v>106.92</v>
      </c>
      <c r="H214" s="71">
        <v>213.84</v>
      </c>
    </row>
    <row r="215" spans="2:8" ht="15">
      <c r="B215" s="288" t="s">
        <v>1173</v>
      </c>
      <c r="C215" s="289" t="s">
        <v>487</v>
      </c>
      <c r="D215" s="83">
        <f ca="1">IFERROR(__xludf.DUMMYFUNCTION("VLOOKUP(SPLIT(C215,"".""),SPLIT(C215,"".""),1)"),79029)</f>
        <v>79029</v>
      </c>
      <c r="E215" s="177" t="s">
        <v>1172</v>
      </c>
      <c r="F215" s="178" t="s">
        <v>19</v>
      </c>
      <c r="G215" s="71">
        <v>106.92</v>
      </c>
      <c r="H215" s="71">
        <v>213.84</v>
      </c>
    </row>
    <row r="216" spans="2:8" ht="15">
      <c r="B216" s="288" t="s">
        <v>1174</v>
      </c>
      <c r="C216" s="289" t="s">
        <v>488</v>
      </c>
      <c r="D216" s="83">
        <f ca="1">IFERROR(__xludf.DUMMYFUNCTION("VLOOKUP(SPLIT(C216,"".""),SPLIT(C216,"".""),1)"),79026)</f>
        <v>79026</v>
      </c>
      <c r="E216" s="177" t="s">
        <v>1175</v>
      </c>
      <c r="F216" s="178" t="s">
        <v>16</v>
      </c>
      <c r="G216" s="71">
        <v>142.56</v>
      </c>
      <c r="H216" s="71">
        <v>285.12</v>
      </c>
    </row>
    <row r="217" spans="2:8" ht="15">
      <c r="B217" s="288" t="s">
        <v>1176</v>
      </c>
      <c r="C217" s="289" t="s">
        <v>490</v>
      </c>
      <c r="D217" s="83">
        <f ca="1">IFERROR(__xludf.DUMMYFUNCTION("VLOOKUP(SPLIT(C217,"".""),SPLIT(C217,"".""),1)"),79030)</f>
        <v>79030</v>
      </c>
      <c r="E217" s="177" t="s">
        <v>1175</v>
      </c>
      <c r="F217" s="178" t="s">
        <v>19</v>
      </c>
      <c r="G217" s="71">
        <v>142.56</v>
      </c>
      <c r="H217" s="71">
        <v>285.12</v>
      </c>
    </row>
    <row r="218" spans="2:8" ht="15">
      <c r="B218" s="288" t="s">
        <v>1177</v>
      </c>
      <c r="C218" s="289" t="s">
        <v>491</v>
      </c>
      <c r="D218" s="83">
        <f ca="1">IFERROR(__xludf.DUMMYFUNCTION("VLOOKUP(SPLIT(C218,"".""),SPLIT(C218,"".""),1)"),79027)</f>
        <v>79027</v>
      </c>
      <c r="E218" s="177" t="s">
        <v>1178</v>
      </c>
      <c r="F218" s="178" t="s">
        <v>16</v>
      </c>
      <c r="G218" s="71">
        <v>142.56</v>
      </c>
      <c r="H218" s="71">
        <v>285.12</v>
      </c>
    </row>
    <row r="219" spans="2:8" ht="15">
      <c r="B219" s="288" t="s">
        <v>1179</v>
      </c>
      <c r="C219" s="289" t="s">
        <v>493</v>
      </c>
      <c r="D219" s="83">
        <f ca="1">IFERROR(__xludf.DUMMYFUNCTION("VLOOKUP(SPLIT(C219,"".""),SPLIT(C219,"".""),1)"),79031)</f>
        <v>79031</v>
      </c>
      <c r="E219" s="177" t="s">
        <v>1178</v>
      </c>
      <c r="F219" s="178" t="s">
        <v>19</v>
      </c>
      <c r="G219" s="71">
        <v>142.56</v>
      </c>
      <c r="H219" s="71">
        <v>285.12</v>
      </c>
    </row>
    <row r="220" spans="2:8" ht="15">
      <c r="B220" s="288" t="s">
        <v>1180</v>
      </c>
      <c r="C220" s="289" t="s">
        <v>494</v>
      </c>
      <c r="D220" s="83">
        <f ca="1">IFERROR(__xludf.DUMMYFUNCTION("VLOOKUP(SPLIT(C220,"".""),SPLIT(C220,"".""),1)"),76019)</f>
        <v>76019</v>
      </c>
      <c r="E220" s="177" t="s">
        <v>1181</v>
      </c>
      <c r="F220" s="178" t="s">
        <v>16</v>
      </c>
      <c r="G220" s="71">
        <v>106.92</v>
      </c>
      <c r="H220" s="71">
        <v>213.84</v>
      </c>
    </row>
    <row r="221" spans="2:8" ht="15">
      <c r="B221" s="288" t="s">
        <v>1182</v>
      </c>
      <c r="C221" s="289" t="s">
        <v>496</v>
      </c>
      <c r="D221" s="83">
        <f ca="1">IFERROR(__xludf.DUMMYFUNCTION("VLOOKUP(SPLIT(C221,"".""),SPLIT(C221,"".""),1)"),76018)</f>
        <v>76018</v>
      </c>
      <c r="E221" s="177" t="s">
        <v>1181</v>
      </c>
      <c r="F221" s="178" t="s">
        <v>19</v>
      </c>
      <c r="G221" s="71">
        <v>106.92</v>
      </c>
      <c r="H221" s="71">
        <v>213.84</v>
      </c>
    </row>
    <row r="222" spans="2:8" ht="15">
      <c r="B222" s="288" t="s">
        <v>1183</v>
      </c>
      <c r="C222" s="289" t="s">
        <v>497</v>
      </c>
      <c r="D222" s="83">
        <f ca="1">IFERROR(__xludf.DUMMYFUNCTION("VLOOKUP(SPLIT(C222,"".""),SPLIT(C222,"".""),1)"),76021)</f>
        <v>76021</v>
      </c>
      <c r="E222" s="177" t="s">
        <v>1184</v>
      </c>
      <c r="F222" s="178" t="s">
        <v>16</v>
      </c>
      <c r="G222" s="71">
        <v>106.92</v>
      </c>
      <c r="H222" s="71">
        <v>213.84</v>
      </c>
    </row>
    <row r="223" spans="2:8" ht="15">
      <c r="B223" s="288" t="s">
        <v>1185</v>
      </c>
      <c r="C223" s="289" t="s">
        <v>499</v>
      </c>
      <c r="D223" s="83">
        <f ca="1">IFERROR(__xludf.DUMMYFUNCTION("VLOOKUP(SPLIT(C223,"".""),SPLIT(C223,"".""),1)"),76020)</f>
        <v>76020</v>
      </c>
      <c r="E223" s="177" t="s">
        <v>1184</v>
      </c>
      <c r="F223" s="178" t="s">
        <v>19</v>
      </c>
      <c r="G223" s="71">
        <v>106.92</v>
      </c>
      <c r="H223" s="71">
        <v>213.84</v>
      </c>
    </row>
    <row r="224" spans="2:8" ht="15">
      <c r="B224" s="288" t="s">
        <v>1186</v>
      </c>
      <c r="C224" s="289" t="s">
        <v>500</v>
      </c>
      <c r="D224" s="83">
        <f ca="1">IFERROR(__xludf.DUMMYFUNCTION("VLOOKUP(SPLIT(C224,"".""),SPLIT(C224,"".""),1)"),76023)</f>
        <v>76023</v>
      </c>
      <c r="E224" s="177" t="s">
        <v>1187</v>
      </c>
      <c r="F224" s="178" t="s">
        <v>16</v>
      </c>
      <c r="G224" s="71">
        <v>142.56</v>
      </c>
      <c r="H224" s="71">
        <v>285.12</v>
      </c>
    </row>
    <row r="225" spans="2:8" ht="15">
      <c r="B225" s="288" t="s">
        <v>1188</v>
      </c>
      <c r="C225" s="289" t="s">
        <v>502</v>
      </c>
      <c r="D225" s="83">
        <f ca="1">IFERROR(__xludf.DUMMYFUNCTION("VLOOKUP(SPLIT(C225,"".""),SPLIT(C225,"".""),1)"),76022)</f>
        <v>76022</v>
      </c>
      <c r="E225" s="177" t="s">
        <v>1187</v>
      </c>
      <c r="F225" s="178" t="s">
        <v>19</v>
      </c>
      <c r="G225" s="71">
        <v>142.56</v>
      </c>
      <c r="H225" s="71">
        <v>285.12</v>
      </c>
    </row>
    <row r="226" spans="2:8" ht="15">
      <c r="B226" s="288" t="s">
        <v>1189</v>
      </c>
      <c r="C226" s="289" t="s">
        <v>503</v>
      </c>
      <c r="D226" s="83">
        <f ca="1">IFERROR(__xludf.DUMMYFUNCTION("VLOOKUP(SPLIT(C226,"".""),SPLIT(C226,"".""),1)"),76025)</f>
        <v>76025</v>
      </c>
      <c r="E226" s="177" t="s">
        <v>1190</v>
      </c>
      <c r="F226" s="178" t="s">
        <v>16</v>
      </c>
      <c r="G226" s="71">
        <v>142.56</v>
      </c>
      <c r="H226" s="71">
        <v>285.12</v>
      </c>
    </row>
    <row r="227" spans="2:8" ht="15">
      <c r="B227" s="288" t="s">
        <v>1191</v>
      </c>
      <c r="C227" s="289" t="s">
        <v>505</v>
      </c>
      <c r="D227" s="83">
        <f ca="1">IFERROR(__xludf.DUMMYFUNCTION("VLOOKUP(SPLIT(C227,"".""),SPLIT(C227,"".""),1)"),76024)</f>
        <v>76024</v>
      </c>
      <c r="E227" s="177" t="s">
        <v>1190</v>
      </c>
      <c r="F227" s="178" t="s">
        <v>19</v>
      </c>
      <c r="G227" s="71">
        <v>142.56</v>
      </c>
      <c r="H227" s="71">
        <v>285.12</v>
      </c>
    </row>
    <row r="228" spans="2:8" ht="15">
      <c r="B228" s="290">
        <v>4823114072970</v>
      </c>
      <c r="C228" s="32" t="s">
        <v>506</v>
      </c>
      <c r="D228" s="83">
        <f ca="1">IFERROR(__xludf.DUMMYFUNCTION("VLOOKUP(SPLIT(C228,"".""),SPLIT(C228,"".""),1)"),126260)</f>
        <v>126260</v>
      </c>
      <c r="E228" s="34" t="s">
        <v>507</v>
      </c>
      <c r="F228" s="35" t="s">
        <v>16</v>
      </c>
      <c r="G228" s="71">
        <v>130.68</v>
      </c>
      <c r="H228" s="71">
        <v>261.36</v>
      </c>
    </row>
    <row r="229" spans="2:8" ht="15">
      <c r="B229" s="290">
        <v>4823114072987</v>
      </c>
      <c r="C229" s="32" t="s">
        <v>508</v>
      </c>
      <c r="D229" s="83">
        <f ca="1">IFERROR(__xludf.DUMMYFUNCTION("VLOOKUP(SPLIT(C229,"".""),SPLIT(C229,"".""),1)"),126261)</f>
        <v>126261</v>
      </c>
      <c r="E229" s="34" t="s">
        <v>507</v>
      </c>
      <c r="F229" s="35" t="s">
        <v>19</v>
      </c>
      <c r="G229" s="71">
        <v>130.68</v>
      </c>
      <c r="H229" s="71">
        <v>261.36</v>
      </c>
    </row>
    <row r="230" spans="2:8" ht="15">
      <c r="B230" s="290">
        <v>4823114072994</v>
      </c>
      <c r="C230" s="32" t="s">
        <v>509</v>
      </c>
      <c r="D230" s="83">
        <f ca="1">IFERROR(__xludf.DUMMYFUNCTION("VLOOKUP(SPLIT(C230,"".""),SPLIT(C230,"".""),1)"),126262)</f>
        <v>126262</v>
      </c>
      <c r="E230" s="34" t="s">
        <v>510</v>
      </c>
      <c r="F230" s="35" t="s">
        <v>16</v>
      </c>
      <c r="G230" s="71">
        <v>130.68</v>
      </c>
      <c r="H230" s="71">
        <v>261.36</v>
      </c>
    </row>
    <row r="231" spans="2:8" ht="15">
      <c r="B231" s="290">
        <v>4823114073007</v>
      </c>
      <c r="C231" s="32" t="s">
        <v>511</v>
      </c>
      <c r="D231" s="83">
        <f ca="1">IFERROR(__xludf.DUMMYFUNCTION("VLOOKUP(SPLIT(C231,"".""),SPLIT(C231,"".""),1)"),126263)</f>
        <v>126263</v>
      </c>
      <c r="E231" s="34" t="s">
        <v>510</v>
      </c>
      <c r="F231" s="35" t="s">
        <v>19</v>
      </c>
      <c r="G231" s="71">
        <v>130.68</v>
      </c>
      <c r="H231" s="71">
        <v>261.36</v>
      </c>
    </row>
    <row r="232" spans="2:8" ht="15">
      <c r="B232" s="290">
        <v>4823114073014</v>
      </c>
      <c r="C232" s="32" t="s">
        <v>512</v>
      </c>
      <c r="D232" s="83">
        <f ca="1">IFERROR(__xludf.DUMMYFUNCTION("VLOOKUP(SPLIT(C232,"".""),SPLIT(C232,"".""),1)"),126264)</f>
        <v>126264</v>
      </c>
      <c r="E232" s="34" t="s">
        <v>513</v>
      </c>
      <c r="F232" s="35" t="s">
        <v>16</v>
      </c>
      <c r="G232" s="71">
        <v>174.23999999999998</v>
      </c>
      <c r="H232" s="71">
        <v>348.47999999999996</v>
      </c>
    </row>
    <row r="233" spans="2:8" ht="15">
      <c r="B233" s="290">
        <v>4823114073021</v>
      </c>
      <c r="C233" s="32" t="s">
        <v>514</v>
      </c>
      <c r="D233" s="83">
        <f ca="1">IFERROR(__xludf.DUMMYFUNCTION("VLOOKUP(SPLIT(C233,"".""),SPLIT(C233,"".""),1)"),126265)</f>
        <v>126265</v>
      </c>
      <c r="E233" s="34" t="s">
        <v>513</v>
      </c>
      <c r="F233" s="35" t="s">
        <v>19</v>
      </c>
      <c r="G233" s="71">
        <v>174.23999999999998</v>
      </c>
      <c r="H233" s="71">
        <v>348.47999999999996</v>
      </c>
    </row>
    <row r="234" spans="2:8" ht="15">
      <c r="B234" s="290">
        <v>4823114073038</v>
      </c>
      <c r="C234" s="32" t="s">
        <v>515</v>
      </c>
      <c r="D234" s="83">
        <f ca="1">IFERROR(__xludf.DUMMYFUNCTION("VLOOKUP(SPLIT(C234,"".""),SPLIT(C234,"".""),1)"),126266)</f>
        <v>126266</v>
      </c>
      <c r="E234" s="34" t="s">
        <v>516</v>
      </c>
      <c r="F234" s="35" t="s">
        <v>16</v>
      </c>
      <c r="G234" s="71">
        <v>174.23999999999998</v>
      </c>
      <c r="H234" s="71">
        <v>348.47999999999996</v>
      </c>
    </row>
    <row r="235" spans="2:8" ht="15">
      <c r="B235" s="290">
        <v>4823114073045</v>
      </c>
      <c r="C235" s="32" t="s">
        <v>517</v>
      </c>
      <c r="D235" s="83">
        <f ca="1">IFERROR(__xludf.DUMMYFUNCTION("VLOOKUP(SPLIT(C235,"".""),SPLIT(C235,"".""),1)"),126267)</f>
        <v>126267</v>
      </c>
      <c r="E235" s="34" t="s">
        <v>516</v>
      </c>
      <c r="F235" s="35" t="s">
        <v>19</v>
      </c>
      <c r="G235" s="71">
        <v>174.23999999999998</v>
      </c>
      <c r="H235" s="71">
        <v>348.47999999999996</v>
      </c>
    </row>
    <row r="236" spans="2:8" ht="15">
      <c r="B236" s="290" t="s">
        <v>1192</v>
      </c>
      <c r="C236" s="32" t="s">
        <v>518</v>
      </c>
      <c r="D236" s="83">
        <f ca="1">IFERROR(__xludf.DUMMYFUNCTION("VLOOKUP(SPLIT(C236,"".""),SPLIT(C236,"".""),1)"),126252)</f>
        <v>126252</v>
      </c>
      <c r="E236" s="34" t="s">
        <v>519</v>
      </c>
      <c r="F236" s="35" t="s">
        <v>16</v>
      </c>
      <c r="G236" s="71">
        <v>130.68</v>
      </c>
      <c r="H236" s="71">
        <v>261.36</v>
      </c>
    </row>
    <row r="237" spans="2:8" ht="15">
      <c r="B237" s="290" t="s">
        <v>1193</v>
      </c>
      <c r="C237" s="32" t="s">
        <v>520</v>
      </c>
      <c r="D237" s="83">
        <f ca="1">IFERROR(__xludf.DUMMYFUNCTION("VLOOKUP(SPLIT(C237,"".""),SPLIT(C237,"".""),1)"),126253)</f>
        <v>126253</v>
      </c>
      <c r="E237" s="34" t="s">
        <v>519</v>
      </c>
      <c r="F237" s="35" t="s">
        <v>19</v>
      </c>
      <c r="G237" s="71">
        <v>130.68</v>
      </c>
      <c r="H237" s="71">
        <v>261.36</v>
      </c>
    </row>
    <row r="238" spans="2:8" ht="15">
      <c r="B238" s="290" t="s">
        <v>1194</v>
      </c>
      <c r="C238" s="32" t="s">
        <v>521</v>
      </c>
      <c r="D238" s="83">
        <f ca="1">IFERROR(__xludf.DUMMYFUNCTION("VLOOKUP(SPLIT(C238,"".""),SPLIT(C238,"".""),1)"),126254)</f>
        <v>126254</v>
      </c>
      <c r="E238" s="34" t="s">
        <v>522</v>
      </c>
      <c r="F238" s="35" t="s">
        <v>16</v>
      </c>
      <c r="G238" s="71">
        <v>130.68</v>
      </c>
      <c r="H238" s="71">
        <v>261.36</v>
      </c>
    </row>
    <row r="239" spans="2:8" ht="15">
      <c r="B239" s="290" t="s">
        <v>1195</v>
      </c>
      <c r="C239" s="32" t="s">
        <v>523</v>
      </c>
      <c r="D239" s="83">
        <f ca="1">IFERROR(__xludf.DUMMYFUNCTION("VLOOKUP(SPLIT(C239,"".""),SPLIT(C239,"".""),1)"),126255)</f>
        <v>126255</v>
      </c>
      <c r="E239" s="34" t="s">
        <v>522</v>
      </c>
      <c r="F239" s="35" t="s">
        <v>19</v>
      </c>
      <c r="G239" s="71">
        <v>130.68</v>
      </c>
      <c r="H239" s="71">
        <v>261.36</v>
      </c>
    </row>
    <row r="240" spans="2:8" ht="15">
      <c r="B240" s="290" t="s">
        <v>1196</v>
      </c>
      <c r="C240" s="32" t="s">
        <v>524</v>
      </c>
      <c r="D240" s="83">
        <f ca="1">IFERROR(__xludf.DUMMYFUNCTION("VLOOKUP(SPLIT(C240,"".""),SPLIT(C240,"".""),1)"),126256)</f>
        <v>126256</v>
      </c>
      <c r="E240" s="34" t="s">
        <v>525</v>
      </c>
      <c r="F240" s="35" t="s">
        <v>16</v>
      </c>
      <c r="G240" s="71">
        <v>174.23999999999998</v>
      </c>
      <c r="H240" s="71">
        <v>348.47999999999996</v>
      </c>
    </row>
    <row r="241" spans="2:8" ht="15">
      <c r="B241" s="290" t="s">
        <v>1197</v>
      </c>
      <c r="C241" s="32" t="s">
        <v>526</v>
      </c>
      <c r="D241" s="83">
        <f ca="1">IFERROR(__xludf.DUMMYFUNCTION("VLOOKUP(SPLIT(C241,"".""),SPLIT(C241,"".""),1)"),126257)</f>
        <v>126257</v>
      </c>
      <c r="E241" s="34" t="s">
        <v>525</v>
      </c>
      <c r="F241" s="35" t="s">
        <v>19</v>
      </c>
      <c r="G241" s="71">
        <v>174.23999999999998</v>
      </c>
      <c r="H241" s="71">
        <v>348.47999999999996</v>
      </c>
    </row>
    <row r="242" spans="2:8" ht="15">
      <c r="B242" s="290" t="s">
        <v>1198</v>
      </c>
      <c r="C242" s="32" t="s">
        <v>527</v>
      </c>
      <c r="D242" s="83">
        <f ca="1">IFERROR(__xludf.DUMMYFUNCTION("VLOOKUP(SPLIT(C242,"".""),SPLIT(C242,"".""),1)"),126258)</f>
        <v>126258</v>
      </c>
      <c r="E242" s="34" t="s">
        <v>528</v>
      </c>
      <c r="F242" s="35" t="s">
        <v>16</v>
      </c>
      <c r="G242" s="71">
        <v>174.23999999999998</v>
      </c>
      <c r="H242" s="71">
        <v>348.47999999999996</v>
      </c>
    </row>
    <row r="243" spans="2:8" ht="15">
      <c r="B243" s="290" t="s">
        <v>1199</v>
      </c>
      <c r="C243" s="32" t="s">
        <v>529</v>
      </c>
      <c r="D243" s="83">
        <f ca="1">IFERROR(__xludf.DUMMYFUNCTION("VLOOKUP(SPLIT(C243,"".""),SPLIT(C243,"".""),1)"),126259)</f>
        <v>126259</v>
      </c>
      <c r="E243" s="34" t="s">
        <v>528</v>
      </c>
      <c r="F243" s="35" t="s">
        <v>19</v>
      </c>
      <c r="G243" s="71">
        <v>174.23999999999998</v>
      </c>
      <c r="H243" s="71">
        <v>348.47999999999996</v>
      </c>
    </row>
    <row r="244" spans="2:8" ht="15">
      <c r="B244" s="290" t="s">
        <v>1200</v>
      </c>
      <c r="C244" s="32" t="s">
        <v>530</v>
      </c>
      <c r="D244" s="83">
        <f ca="1">IFERROR(__xludf.DUMMYFUNCTION("VLOOKUP(SPLIT(C244,"".""),SPLIT(C244,"".""),1)"),126268)</f>
        <v>126268</v>
      </c>
      <c r="E244" s="34" t="s">
        <v>531</v>
      </c>
      <c r="F244" s="35" t="s">
        <v>16</v>
      </c>
      <c r="G244" s="71">
        <v>130.68</v>
      </c>
      <c r="H244" s="71">
        <v>261.36</v>
      </c>
    </row>
    <row r="245" spans="2:8" ht="15">
      <c r="B245" s="290" t="s">
        <v>1201</v>
      </c>
      <c r="C245" s="32" t="s">
        <v>532</v>
      </c>
      <c r="D245" s="83">
        <f ca="1">IFERROR(__xludf.DUMMYFUNCTION("VLOOKUP(SPLIT(C245,"".""),SPLIT(C245,"".""),1)"),126269)</f>
        <v>126269</v>
      </c>
      <c r="E245" s="34" t="s">
        <v>533</v>
      </c>
      <c r="F245" s="35" t="s">
        <v>19</v>
      </c>
      <c r="G245" s="71">
        <v>130.68</v>
      </c>
      <c r="H245" s="71">
        <v>261.36</v>
      </c>
    </row>
    <row r="246" spans="2:8" ht="15">
      <c r="B246" s="290" t="s">
        <v>1202</v>
      </c>
      <c r="C246" s="32" t="s">
        <v>534</v>
      </c>
      <c r="D246" s="83">
        <f ca="1">IFERROR(__xludf.DUMMYFUNCTION("VLOOKUP(SPLIT(C246,"".""),SPLIT(C246,"".""),1)"),126270)</f>
        <v>126270</v>
      </c>
      <c r="E246" s="34" t="s">
        <v>535</v>
      </c>
      <c r="F246" s="35" t="s">
        <v>16</v>
      </c>
      <c r="G246" s="71">
        <v>130.68</v>
      </c>
      <c r="H246" s="71">
        <v>261.36</v>
      </c>
    </row>
    <row r="247" spans="2:8" ht="15">
      <c r="B247" s="290" t="s">
        <v>1203</v>
      </c>
      <c r="C247" s="32" t="s">
        <v>536</v>
      </c>
      <c r="D247" s="83">
        <f ca="1">IFERROR(__xludf.DUMMYFUNCTION("VLOOKUP(SPLIT(C247,"".""),SPLIT(C247,"".""),1)"),126271)</f>
        <v>126271</v>
      </c>
      <c r="E247" s="34" t="s">
        <v>535</v>
      </c>
      <c r="F247" s="35" t="s">
        <v>19</v>
      </c>
      <c r="G247" s="71">
        <v>130.68</v>
      </c>
      <c r="H247" s="71">
        <v>261.36</v>
      </c>
    </row>
    <row r="248" spans="2:8" ht="15">
      <c r="B248" s="290" t="s">
        <v>1204</v>
      </c>
      <c r="C248" s="32" t="s">
        <v>537</v>
      </c>
      <c r="D248" s="83">
        <f ca="1">IFERROR(__xludf.DUMMYFUNCTION("VLOOKUP(SPLIT(C248,"".""),SPLIT(C248,"".""),1)"),126272)</f>
        <v>126272</v>
      </c>
      <c r="E248" s="34" t="s">
        <v>538</v>
      </c>
      <c r="F248" s="35" t="s">
        <v>16</v>
      </c>
      <c r="G248" s="71">
        <v>174.23999999999998</v>
      </c>
      <c r="H248" s="71">
        <v>348.47999999999996</v>
      </c>
    </row>
    <row r="249" spans="2:8" ht="15">
      <c r="B249" s="290" t="s">
        <v>1205</v>
      </c>
      <c r="C249" s="32" t="s">
        <v>539</v>
      </c>
      <c r="D249" s="83">
        <f ca="1">IFERROR(__xludf.DUMMYFUNCTION("VLOOKUP(SPLIT(C249,"".""),SPLIT(C249,"".""),1)"),126273)</f>
        <v>126273</v>
      </c>
      <c r="E249" s="34" t="s">
        <v>538</v>
      </c>
      <c r="F249" s="35" t="s">
        <v>19</v>
      </c>
      <c r="G249" s="71">
        <v>174.23999999999998</v>
      </c>
      <c r="H249" s="71">
        <v>348.47999999999996</v>
      </c>
    </row>
    <row r="250" spans="2:8" ht="15">
      <c r="B250" s="290" t="s">
        <v>1206</v>
      </c>
      <c r="C250" s="32" t="s">
        <v>540</v>
      </c>
      <c r="D250" s="83">
        <f ca="1">IFERROR(__xludf.DUMMYFUNCTION("VLOOKUP(SPLIT(C250,"".""),SPLIT(C250,"".""),1)"),126274)</f>
        <v>126274</v>
      </c>
      <c r="E250" s="34" t="s">
        <v>541</v>
      </c>
      <c r="F250" s="35" t="s">
        <v>16</v>
      </c>
      <c r="G250" s="71">
        <v>174.23999999999998</v>
      </c>
      <c r="H250" s="71">
        <v>348.47999999999996</v>
      </c>
    </row>
    <row r="251" spans="2:8" ht="15">
      <c r="B251" s="290" t="s">
        <v>1207</v>
      </c>
      <c r="C251" s="32" t="s">
        <v>542</v>
      </c>
      <c r="D251" s="83">
        <f ca="1">IFERROR(__xludf.DUMMYFUNCTION("VLOOKUP(SPLIT(C251,"".""),SPLIT(C251,"".""),1)"),126275)</f>
        <v>126275</v>
      </c>
      <c r="E251" s="34" t="s">
        <v>541</v>
      </c>
      <c r="F251" s="35" t="s">
        <v>19</v>
      </c>
      <c r="G251" s="71">
        <v>174.23999999999998</v>
      </c>
      <c r="H251" s="71">
        <v>348.47999999999996</v>
      </c>
    </row>
    <row r="252" spans="2:8" ht="15">
      <c r="B252" s="69">
        <v>4823114053474</v>
      </c>
      <c r="C252" s="189" t="s">
        <v>562</v>
      </c>
      <c r="D252" s="69">
        <v>88882</v>
      </c>
      <c r="E252" s="135" t="s">
        <v>563</v>
      </c>
      <c r="F252" s="179" t="s">
        <v>16</v>
      </c>
      <c r="G252" s="191">
        <v>20.07</v>
      </c>
      <c r="H252" s="191">
        <v>40.14</v>
      </c>
    </row>
    <row r="253" spans="2:8" ht="15">
      <c r="B253" s="87">
        <v>4823114053481</v>
      </c>
      <c r="C253" s="87" t="s">
        <v>564</v>
      </c>
      <c r="D253" s="87">
        <v>88881</v>
      </c>
      <c r="E253" s="34" t="s">
        <v>563</v>
      </c>
      <c r="F253" s="35" t="s">
        <v>19</v>
      </c>
      <c r="G253" s="194">
        <v>20.07</v>
      </c>
      <c r="H253" s="194">
        <v>40.14</v>
      </c>
    </row>
    <row r="254" spans="2:8" ht="15">
      <c r="B254" s="61">
        <v>4823114044168</v>
      </c>
      <c r="C254" s="61" t="s">
        <v>578</v>
      </c>
      <c r="D254" s="83">
        <f ca="1">IFERROR(__xludf.DUMMYFUNCTION("VLOOKUP(SPLIT(C254,"".""),SPLIT(C254,"".""),1)"),70938)</f>
        <v>70938</v>
      </c>
      <c r="E254" s="25" t="s">
        <v>579</v>
      </c>
      <c r="F254" s="175" t="s">
        <v>16</v>
      </c>
      <c r="G254" s="35">
        <v>155.21</v>
      </c>
      <c r="H254" s="35">
        <v>310.42</v>
      </c>
    </row>
    <row r="255" spans="2:8" ht="15">
      <c r="B255" s="61">
        <v>4823114044151</v>
      </c>
      <c r="C255" s="61" t="s">
        <v>580</v>
      </c>
      <c r="D255" s="83">
        <f ca="1">IFERROR(__xludf.DUMMYFUNCTION("VLOOKUP(SPLIT(C255,"".""),SPLIT(C255,"".""),1)"),70936)</f>
        <v>70936</v>
      </c>
      <c r="E255" s="177" t="s">
        <v>579</v>
      </c>
      <c r="F255" s="178" t="s">
        <v>19</v>
      </c>
      <c r="G255" s="35">
        <v>155.21</v>
      </c>
      <c r="H255" s="35">
        <v>310.42</v>
      </c>
    </row>
    <row r="256" spans="2:8" ht="15">
      <c r="B256" s="61">
        <v>4823114044120</v>
      </c>
      <c r="C256" s="61" t="s">
        <v>581</v>
      </c>
      <c r="D256" s="83">
        <f ca="1">IFERROR(__xludf.DUMMYFUNCTION("VLOOKUP(SPLIT(C256,"".""),SPLIT(C256,"".""),1)"),70935)</f>
        <v>70935</v>
      </c>
      <c r="E256" s="177" t="s">
        <v>582</v>
      </c>
      <c r="F256" s="178" t="s">
        <v>16</v>
      </c>
      <c r="G256" s="35">
        <v>238.89</v>
      </c>
      <c r="H256" s="35">
        <v>477.78</v>
      </c>
    </row>
    <row r="257" spans="2:8" ht="15">
      <c r="B257" s="69">
        <v>4823114044113</v>
      </c>
      <c r="C257" s="69" t="s">
        <v>583</v>
      </c>
      <c r="D257" s="83">
        <f ca="1">IFERROR(__xludf.DUMMYFUNCTION("VLOOKUP(SPLIT(C257,"".""),SPLIT(C257,"".""),1)"),70934)</f>
        <v>70934</v>
      </c>
      <c r="E257" s="186" t="s">
        <v>582</v>
      </c>
      <c r="F257" s="187" t="s">
        <v>19</v>
      </c>
      <c r="G257" s="35">
        <v>238.89</v>
      </c>
      <c r="H257" s="35">
        <v>477.78</v>
      </c>
    </row>
    <row r="258" spans="2:8" ht="15">
      <c r="B258" s="87">
        <v>4823114071171</v>
      </c>
      <c r="C258" s="87" t="s">
        <v>584</v>
      </c>
      <c r="D258" s="83">
        <f ca="1">IFERROR(__xludf.DUMMYFUNCTION("VLOOKUP(SPLIT(C258,"".""),SPLIT(C258,"".""),1)"),127051)</f>
        <v>127051</v>
      </c>
      <c r="E258" s="34" t="s">
        <v>585</v>
      </c>
      <c r="F258" s="35" t="s">
        <v>16</v>
      </c>
      <c r="G258" s="35">
        <v>155.21</v>
      </c>
      <c r="H258" s="35">
        <v>310.42</v>
      </c>
    </row>
    <row r="259" spans="2:8" ht="15">
      <c r="B259" s="87">
        <v>4823114071188</v>
      </c>
      <c r="C259" s="87" t="s">
        <v>586</v>
      </c>
      <c r="D259" s="83">
        <f ca="1">IFERROR(__xludf.DUMMYFUNCTION("VLOOKUP(SPLIT(C259,"".""),SPLIT(C259,"".""),1)"),127052)</f>
        <v>127052</v>
      </c>
      <c r="E259" s="34" t="s">
        <v>585</v>
      </c>
      <c r="F259" s="35" t="s">
        <v>19</v>
      </c>
      <c r="G259" s="35">
        <v>155.21</v>
      </c>
      <c r="H259" s="35">
        <v>310.42</v>
      </c>
    </row>
    <row r="260" spans="2:8" ht="15">
      <c r="B260" s="87">
        <v>4823114071232</v>
      </c>
      <c r="C260" s="87" t="s">
        <v>587</v>
      </c>
      <c r="D260" s="83">
        <f ca="1">IFERROR(__xludf.DUMMYFUNCTION("VLOOKUP(SPLIT(C260,"".""),SPLIT(C260,"".""),1)"),127057)</f>
        <v>127057</v>
      </c>
      <c r="E260" s="34" t="s">
        <v>588</v>
      </c>
      <c r="F260" s="35" t="s">
        <v>16</v>
      </c>
      <c r="G260" s="35">
        <v>238.89</v>
      </c>
      <c r="H260" s="35">
        <v>477.78</v>
      </c>
    </row>
    <row r="261" spans="2:8" ht="15">
      <c r="B261" s="87">
        <v>4823114071249</v>
      </c>
      <c r="C261" s="87" t="s">
        <v>589</v>
      </c>
      <c r="D261" s="83">
        <f ca="1">IFERROR(__xludf.DUMMYFUNCTION("VLOOKUP(SPLIT(C261,"".""),SPLIT(C261,"".""),1)"),127058)</f>
        <v>127058</v>
      </c>
      <c r="E261" s="34" t="s">
        <v>588</v>
      </c>
      <c r="F261" s="35" t="s">
        <v>19</v>
      </c>
      <c r="G261" s="35">
        <v>238.89</v>
      </c>
      <c r="H261" s="35">
        <v>477.78</v>
      </c>
    </row>
    <row r="262" spans="2:8" ht="15">
      <c r="B262" s="83">
        <v>4823114076558</v>
      </c>
      <c r="C262" s="83" t="s">
        <v>590</v>
      </c>
      <c r="D262" s="83">
        <f ca="1">IFERROR(__xludf.DUMMYFUNCTION("VLOOKUP(SPLIT(C262,"".""),SPLIT(C262,"".""),1)"),134499)</f>
        <v>134499</v>
      </c>
      <c r="E262" s="34" t="s">
        <v>591</v>
      </c>
      <c r="F262" s="175" t="s">
        <v>16</v>
      </c>
      <c r="G262" s="36">
        <v>178.5</v>
      </c>
      <c r="H262" s="36">
        <v>357</v>
      </c>
    </row>
    <row r="263" spans="2:8" ht="15">
      <c r="B263" s="83">
        <v>4823114076565</v>
      </c>
      <c r="C263" s="83" t="s">
        <v>592</v>
      </c>
      <c r="D263" s="83">
        <f ca="1">IFERROR(__xludf.DUMMYFUNCTION("VLOOKUP(SPLIT(C263,"".""),SPLIT(C263,"".""),1)"),134500)</f>
        <v>134500</v>
      </c>
      <c r="E263" s="34" t="s">
        <v>591</v>
      </c>
      <c r="F263" s="178" t="s">
        <v>19</v>
      </c>
      <c r="G263" s="36">
        <v>178.5</v>
      </c>
      <c r="H263" s="36">
        <v>357</v>
      </c>
    </row>
    <row r="264" spans="2:8" ht="15">
      <c r="B264" s="83">
        <v>4823114076619</v>
      </c>
      <c r="C264" s="83" t="s">
        <v>593</v>
      </c>
      <c r="D264" s="83">
        <f ca="1">IFERROR(__xludf.DUMMYFUNCTION("VLOOKUP(SPLIT(C264,"".""),SPLIT(C264,"".""),1)"),134505)</f>
        <v>134505</v>
      </c>
      <c r="E264" s="34" t="s">
        <v>594</v>
      </c>
      <c r="F264" s="187" t="s">
        <v>16</v>
      </c>
      <c r="G264" s="36">
        <v>274.72000000000003</v>
      </c>
      <c r="H264" s="36">
        <v>549.44000000000005</v>
      </c>
    </row>
    <row r="265" spans="2:8" ht="15">
      <c r="B265" s="83">
        <v>4823114076626</v>
      </c>
      <c r="C265" s="83" t="s">
        <v>595</v>
      </c>
      <c r="D265" s="83">
        <f ca="1">IFERROR(__xludf.DUMMYFUNCTION("VLOOKUP(SPLIT(C265,"".""),SPLIT(C265,"".""),1)"),134506)</f>
        <v>134506</v>
      </c>
      <c r="E265" s="34" t="s">
        <v>594</v>
      </c>
      <c r="F265" s="35" t="s">
        <v>19</v>
      </c>
      <c r="G265" s="36">
        <v>274.72000000000003</v>
      </c>
      <c r="H265" s="36">
        <v>549.44000000000005</v>
      </c>
    </row>
    <row r="266" spans="2:8" ht="15">
      <c r="B266" s="61">
        <v>4823114066863</v>
      </c>
      <c r="C266" s="61" t="s">
        <v>618</v>
      </c>
      <c r="D266" s="61">
        <v>112255</v>
      </c>
      <c r="E266" s="25" t="s">
        <v>619</v>
      </c>
      <c r="F266" s="175" t="s">
        <v>25</v>
      </c>
      <c r="G266" s="26">
        <v>18.440000000000001</v>
      </c>
      <c r="H266" s="26">
        <v>36.880000000000003</v>
      </c>
    </row>
    <row r="267" spans="2:8" ht="15">
      <c r="B267" s="61">
        <v>4823114014888</v>
      </c>
      <c r="C267" s="61" t="s">
        <v>621</v>
      </c>
      <c r="D267" s="61">
        <f ca="1">IFERROR(__xludf.DUMMYFUNCTION("VLOOKUP(SPLIT(C267,"".""),SPLIT(C267,"".""),1)"),38104)</f>
        <v>38104</v>
      </c>
      <c r="E267" s="61" t="s">
        <v>622</v>
      </c>
      <c r="F267" s="63" t="s">
        <v>16</v>
      </c>
      <c r="G267" s="201">
        <v>51.82</v>
      </c>
      <c r="H267" s="291">
        <v>103.64</v>
      </c>
    </row>
    <row r="268" spans="2:8" ht="15">
      <c r="B268" s="61">
        <v>4823114014871</v>
      </c>
      <c r="C268" s="61" t="s">
        <v>623</v>
      </c>
      <c r="D268" s="61">
        <f ca="1">IFERROR(__xludf.DUMMYFUNCTION("VLOOKUP(SPLIT(C268,"".""),SPLIT(C268,"".""),1)"),38105)</f>
        <v>38105</v>
      </c>
      <c r="E268" s="61" t="s">
        <v>622</v>
      </c>
      <c r="F268" s="63" t="s">
        <v>19</v>
      </c>
      <c r="G268" s="203">
        <v>51.82</v>
      </c>
      <c r="H268" s="205">
        <v>103.64</v>
      </c>
    </row>
    <row r="269" spans="2:8" ht="15">
      <c r="B269" s="61">
        <v>4823114014864</v>
      </c>
      <c r="C269" s="61" t="s">
        <v>624</v>
      </c>
      <c r="D269" s="61">
        <f ca="1">IFERROR(__xludf.DUMMYFUNCTION("VLOOKUP(SPLIT(C269,"".""),SPLIT(C269,"".""),1)"),38106)</f>
        <v>38106</v>
      </c>
      <c r="E269" s="61" t="s">
        <v>625</v>
      </c>
      <c r="F269" s="63" t="s">
        <v>16</v>
      </c>
      <c r="G269" s="203">
        <v>77.180000000000007</v>
      </c>
      <c r="H269" s="205">
        <v>154.35</v>
      </c>
    </row>
    <row r="270" spans="2:8" ht="15">
      <c r="B270" s="61">
        <v>4823114014857</v>
      </c>
      <c r="C270" s="61" t="s">
        <v>626</v>
      </c>
      <c r="D270" s="61">
        <f ca="1">IFERROR(__xludf.DUMMYFUNCTION("VLOOKUP(SPLIT(C270,"".""),SPLIT(C270,"".""),1)"),38107)</f>
        <v>38107</v>
      </c>
      <c r="E270" s="61" t="s">
        <v>625</v>
      </c>
      <c r="F270" s="63" t="s">
        <v>19</v>
      </c>
      <c r="G270" s="203">
        <v>77.180000000000007</v>
      </c>
      <c r="H270" s="205">
        <v>154.35</v>
      </c>
    </row>
    <row r="271" spans="2:8" ht="15">
      <c r="B271" s="61">
        <v>4823114030727</v>
      </c>
      <c r="C271" s="61" t="s">
        <v>627</v>
      </c>
      <c r="D271" s="61">
        <f ca="1">IFERROR(__xludf.DUMMYFUNCTION("VLOOKUP(SPLIT(C271,"".""),SPLIT(C271,"".""),1)"),52251)</f>
        <v>52251</v>
      </c>
      <c r="E271" s="61" t="s">
        <v>628</v>
      </c>
      <c r="F271" s="63" t="s">
        <v>16</v>
      </c>
      <c r="G271" s="203">
        <v>58.03</v>
      </c>
      <c r="H271" s="205">
        <v>116.05</v>
      </c>
    </row>
    <row r="272" spans="2:8" ht="15">
      <c r="B272" s="61">
        <v>4823114030734</v>
      </c>
      <c r="C272" s="61" t="s">
        <v>629</v>
      </c>
      <c r="D272" s="61">
        <f ca="1">IFERROR(__xludf.DUMMYFUNCTION("VLOOKUP(SPLIT(C272,"".""),SPLIT(C272,"".""),1)"),52250)</f>
        <v>52250</v>
      </c>
      <c r="E272" s="61" t="s">
        <v>628</v>
      </c>
      <c r="F272" s="63" t="s">
        <v>19</v>
      </c>
      <c r="G272" s="203">
        <v>58.03</v>
      </c>
      <c r="H272" s="205">
        <v>116.05</v>
      </c>
    </row>
    <row r="273" spans="2:8" ht="15">
      <c r="B273" s="61">
        <v>4823114030703</v>
      </c>
      <c r="C273" s="61" t="s">
        <v>630</v>
      </c>
      <c r="D273" s="61">
        <f ca="1">IFERROR(__xludf.DUMMYFUNCTION("VLOOKUP(SPLIT(C273,"".""),SPLIT(C273,"".""),1)"),52253)</f>
        <v>52253</v>
      </c>
      <c r="E273" s="61" t="s">
        <v>631</v>
      </c>
      <c r="F273" s="63" t="s">
        <v>16</v>
      </c>
      <c r="G273" s="203">
        <v>86.16</v>
      </c>
      <c r="H273" s="205">
        <v>172.32</v>
      </c>
    </row>
    <row r="274" spans="2:8" ht="15">
      <c r="B274" s="61">
        <v>4823114030710</v>
      </c>
      <c r="C274" s="61" t="s">
        <v>632</v>
      </c>
      <c r="D274" s="61">
        <f ca="1">IFERROR(__xludf.DUMMYFUNCTION("VLOOKUP(SPLIT(C274,"".""),SPLIT(C274,"".""),1)"),52252)</f>
        <v>52252</v>
      </c>
      <c r="E274" s="61" t="s">
        <v>631</v>
      </c>
      <c r="F274" s="63" t="s">
        <v>19</v>
      </c>
      <c r="G274" s="203">
        <v>86.16</v>
      </c>
      <c r="H274" s="205">
        <v>172.32</v>
      </c>
    </row>
    <row r="275" spans="2:8" ht="15">
      <c r="B275" s="61">
        <v>4823114030680</v>
      </c>
      <c r="C275" s="61" t="s">
        <v>633</v>
      </c>
      <c r="D275" s="61">
        <f ca="1">IFERROR(__xludf.DUMMYFUNCTION("VLOOKUP(SPLIT(C275,"".""),SPLIT(C275,"".""),1)"),52255)</f>
        <v>52255</v>
      </c>
      <c r="E275" s="61" t="s">
        <v>634</v>
      </c>
      <c r="F275" s="63" t="s">
        <v>16</v>
      </c>
      <c r="G275" s="203">
        <v>67.89</v>
      </c>
      <c r="H275" s="205">
        <v>135.79</v>
      </c>
    </row>
    <row r="276" spans="2:8" ht="15">
      <c r="B276" s="61">
        <v>4823114030697</v>
      </c>
      <c r="C276" s="61" t="s">
        <v>635</v>
      </c>
      <c r="D276" s="61">
        <f ca="1">IFERROR(__xludf.DUMMYFUNCTION("VLOOKUP(SPLIT(C276,"".""),SPLIT(C276,"".""),1)"),52254)</f>
        <v>52254</v>
      </c>
      <c r="E276" s="61" t="s">
        <v>634</v>
      </c>
      <c r="F276" s="63" t="s">
        <v>19</v>
      </c>
      <c r="G276" s="203">
        <v>67.89</v>
      </c>
      <c r="H276" s="205">
        <v>135.79</v>
      </c>
    </row>
    <row r="277" spans="2:8" ht="15">
      <c r="B277" s="61">
        <v>4823114030666</v>
      </c>
      <c r="C277" s="61" t="s">
        <v>636</v>
      </c>
      <c r="D277" s="61">
        <f ca="1">IFERROR(__xludf.DUMMYFUNCTION("VLOOKUP(SPLIT(C277,"".""),SPLIT(C277,"".""),1)"),52257)</f>
        <v>52257</v>
      </c>
      <c r="E277" s="61" t="s">
        <v>637</v>
      </c>
      <c r="F277" s="63" t="s">
        <v>16</v>
      </c>
      <c r="G277" s="203">
        <v>95.64</v>
      </c>
      <c r="H277" s="205">
        <v>191.27</v>
      </c>
    </row>
    <row r="278" spans="2:8" ht="15">
      <c r="B278" s="61">
        <v>4823114030673</v>
      </c>
      <c r="C278" s="61" t="s">
        <v>638</v>
      </c>
      <c r="D278" s="61">
        <f ca="1">IFERROR(__xludf.DUMMYFUNCTION("VLOOKUP(SPLIT(C278,"".""),SPLIT(C278,"".""),1)"),52256)</f>
        <v>52256</v>
      </c>
      <c r="E278" s="61" t="s">
        <v>637</v>
      </c>
      <c r="F278" s="63" t="s">
        <v>19</v>
      </c>
      <c r="G278" s="203">
        <v>95.64</v>
      </c>
      <c r="H278" s="205">
        <v>191.27</v>
      </c>
    </row>
    <row r="279" spans="2:8" ht="15">
      <c r="B279" s="61">
        <v>4823114040269</v>
      </c>
      <c r="C279" s="61" t="s">
        <v>639</v>
      </c>
      <c r="D279" s="61">
        <f ca="1">IFERROR(__xludf.DUMMYFUNCTION("VLOOKUP(SPLIT(C279,"".""),SPLIT(C279,"".""),1)"),63211)</f>
        <v>63211</v>
      </c>
      <c r="E279" s="61" t="s">
        <v>640</v>
      </c>
      <c r="F279" s="63" t="s">
        <v>16</v>
      </c>
      <c r="G279" s="203">
        <v>77.62</v>
      </c>
      <c r="H279" s="205">
        <v>155.25</v>
      </c>
    </row>
    <row r="280" spans="2:8" ht="15">
      <c r="B280" s="61">
        <v>4823114040252</v>
      </c>
      <c r="C280" s="61" t="s">
        <v>641</v>
      </c>
      <c r="D280" s="61">
        <f ca="1">IFERROR(__xludf.DUMMYFUNCTION("VLOOKUP(SPLIT(C280,"".""),SPLIT(C280,"".""),1)"),63210)</f>
        <v>63210</v>
      </c>
      <c r="E280" s="61" t="s">
        <v>640</v>
      </c>
      <c r="F280" s="63" t="s">
        <v>19</v>
      </c>
      <c r="G280" s="203">
        <v>77.62</v>
      </c>
      <c r="H280" s="205">
        <v>155.25</v>
      </c>
    </row>
    <row r="281" spans="2:8" ht="15">
      <c r="B281" s="61">
        <v>4823114040306</v>
      </c>
      <c r="C281" s="61" t="s">
        <v>642</v>
      </c>
      <c r="D281" s="61">
        <f ca="1">IFERROR(__xludf.DUMMYFUNCTION("VLOOKUP(SPLIT(C281,"".""),SPLIT(C281,"".""),1)"),63209)</f>
        <v>63209</v>
      </c>
      <c r="E281" s="61" t="s">
        <v>643</v>
      </c>
      <c r="F281" s="63" t="s">
        <v>16</v>
      </c>
      <c r="G281" s="203">
        <v>52.28</v>
      </c>
      <c r="H281" s="205">
        <v>104.55</v>
      </c>
    </row>
    <row r="282" spans="2:8" ht="15">
      <c r="B282" s="61">
        <v>4823114040320</v>
      </c>
      <c r="C282" s="61" t="s">
        <v>644</v>
      </c>
      <c r="D282" s="61">
        <f ca="1">IFERROR(__xludf.DUMMYFUNCTION("VLOOKUP(SPLIT(C282,"".""),SPLIT(C282,"".""),1)"),63208)</f>
        <v>63208</v>
      </c>
      <c r="E282" s="61" t="s">
        <v>643</v>
      </c>
      <c r="F282" s="63" t="s">
        <v>19</v>
      </c>
      <c r="G282" s="203">
        <v>52.28</v>
      </c>
      <c r="H282" s="205">
        <v>104.55</v>
      </c>
    </row>
    <row r="283" spans="2:8" ht="15">
      <c r="B283" s="61">
        <v>4823114040221</v>
      </c>
      <c r="C283" s="61" t="s">
        <v>645</v>
      </c>
      <c r="D283" s="61">
        <f ca="1">IFERROR(__xludf.DUMMYFUNCTION("VLOOKUP(SPLIT(C283,"".""),SPLIT(C283,"".""),1)"),63213)</f>
        <v>63213</v>
      </c>
      <c r="E283" s="61" t="s">
        <v>646</v>
      </c>
      <c r="F283" s="63" t="s">
        <v>16</v>
      </c>
      <c r="G283" s="203">
        <v>76.930000000000007</v>
      </c>
      <c r="H283" s="205">
        <v>153.86000000000001</v>
      </c>
    </row>
    <row r="284" spans="2:8" ht="15">
      <c r="B284" s="61">
        <v>4823114040214</v>
      </c>
      <c r="C284" s="61" t="s">
        <v>647</v>
      </c>
      <c r="D284" s="61">
        <f ca="1">IFERROR(__xludf.DUMMYFUNCTION("VLOOKUP(SPLIT(C284,"".""),SPLIT(C284,"".""),1)"),63212)</f>
        <v>63212</v>
      </c>
      <c r="E284" s="61" t="s">
        <v>646</v>
      </c>
      <c r="F284" s="63" t="s">
        <v>19</v>
      </c>
      <c r="G284" s="203">
        <v>76.930000000000007</v>
      </c>
      <c r="H284" s="205">
        <v>153.86000000000001</v>
      </c>
    </row>
    <row r="285" spans="2:8" ht="15">
      <c r="B285" s="61">
        <v>4823114042614</v>
      </c>
      <c r="C285" s="61" t="s">
        <v>648</v>
      </c>
      <c r="D285" s="61">
        <f ca="1">IFERROR(__xludf.DUMMYFUNCTION("VLOOKUP(SPLIT(C285,"".""),SPLIT(C285,"".""),1)"),63217)</f>
        <v>63217</v>
      </c>
      <c r="E285" s="61" t="s">
        <v>649</v>
      </c>
      <c r="F285" s="63" t="s">
        <v>16</v>
      </c>
      <c r="G285" s="203">
        <v>86.94</v>
      </c>
      <c r="H285" s="205">
        <v>173.88</v>
      </c>
    </row>
    <row r="286" spans="2:8" ht="15">
      <c r="B286" s="61">
        <v>4823114042607</v>
      </c>
      <c r="C286" s="61" t="s">
        <v>650</v>
      </c>
      <c r="D286" s="61">
        <f ca="1">IFERROR(__xludf.DUMMYFUNCTION("VLOOKUP(SPLIT(C286,"".""),SPLIT(C286,"".""),1)"),63216)</f>
        <v>63216</v>
      </c>
      <c r="E286" s="61" t="s">
        <v>649</v>
      </c>
      <c r="F286" s="63" t="s">
        <v>19</v>
      </c>
      <c r="G286" s="203">
        <v>86.94</v>
      </c>
      <c r="H286" s="205">
        <v>173.88</v>
      </c>
    </row>
    <row r="287" spans="2:8" ht="15">
      <c r="B287" s="61">
        <v>4823114042652</v>
      </c>
      <c r="C287" s="61" t="s">
        <v>651</v>
      </c>
      <c r="D287" s="61">
        <f ca="1">IFERROR(__xludf.DUMMYFUNCTION("VLOOKUP(SPLIT(C287,"".""),SPLIT(C287,"".""),1)"),63215)</f>
        <v>63215</v>
      </c>
      <c r="E287" s="61" t="s">
        <v>652</v>
      </c>
      <c r="F287" s="63" t="s">
        <v>16</v>
      </c>
      <c r="G287" s="203">
        <v>61.72</v>
      </c>
      <c r="H287" s="205">
        <v>123.44</v>
      </c>
    </row>
    <row r="288" spans="2:8" ht="15">
      <c r="B288" s="61">
        <v>4823114042645</v>
      </c>
      <c r="C288" s="61" t="s">
        <v>653</v>
      </c>
      <c r="D288" s="61">
        <f ca="1">IFERROR(__xludf.DUMMYFUNCTION("VLOOKUP(SPLIT(C288,"".""),SPLIT(C288,"".""),1)"),63214)</f>
        <v>63214</v>
      </c>
      <c r="E288" s="61" t="s">
        <v>652</v>
      </c>
      <c r="F288" s="63" t="s">
        <v>19</v>
      </c>
      <c r="G288" s="203">
        <v>61.72</v>
      </c>
      <c r="H288" s="205">
        <v>123.44</v>
      </c>
    </row>
    <row r="289" spans="2:8" ht="15">
      <c r="B289" s="61">
        <v>4823114042577</v>
      </c>
      <c r="C289" s="61" t="s">
        <v>654</v>
      </c>
      <c r="D289" s="61">
        <f ca="1">IFERROR(__xludf.DUMMYFUNCTION("VLOOKUP(SPLIT(C289,"".""),SPLIT(C289,"".""),1)"),63219)</f>
        <v>63219</v>
      </c>
      <c r="E289" s="61" t="s">
        <v>655</v>
      </c>
      <c r="F289" s="63" t="s">
        <v>16</v>
      </c>
      <c r="G289" s="203">
        <v>86.16</v>
      </c>
      <c r="H289" s="205">
        <v>172.32</v>
      </c>
    </row>
    <row r="290" spans="2:8" ht="15">
      <c r="B290" s="61">
        <v>4823114042560</v>
      </c>
      <c r="C290" s="61" t="s">
        <v>656</v>
      </c>
      <c r="D290" s="61">
        <f ca="1">IFERROR(__xludf.DUMMYFUNCTION("VLOOKUP(SPLIT(C290,"".""),SPLIT(C290,"".""),1)"),63218)</f>
        <v>63218</v>
      </c>
      <c r="E290" s="61" t="s">
        <v>655</v>
      </c>
      <c r="F290" s="63" t="s">
        <v>19</v>
      </c>
      <c r="G290" s="206">
        <v>86.16</v>
      </c>
      <c r="H290" s="207">
        <v>172.32</v>
      </c>
    </row>
    <row r="291" spans="2:8" ht="15">
      <c r="B291" s="61">
        <v>4823114046971</v>
      </c>
      <c r="C291" s="61" t="s">
        <v>657</v>
      </c>
      <c r="D291" s="61">
        <v>60827</v>
      </c>
      <c r="E291" s="61" t="s">
        <v>658</v>
      </c>
      <c r="F291" s="63" t="s">
        <v>16</v>
      </c>
      <c r="G291" s="208">
        <v>75.099999999999994</v>
      </c>
      <c r="H291" s="285">
        <v>150.19999999999999</v>
      </c>
    </row>
    <row r="292" spans="2:8" ht="15">
      <c r="B292" s="61">
        <v>4823114046988</v>
      </c>
      <c r="C292" s="61" t="s">
        <v>659</v>
      </c>
      <c r="D292" s="61">
        <v>60826</v>
      </c>
      <c r="E292" s="61" t="s">
        <v>658</v>
      </c>
      <c r="F292" s="63" t="s">
        <v>19</v>
      </c>
      <c r="G292" s="210">
        <v>75.099999999999994</v>
      </c>
      <c r="H292" s="274">
        <v>150.19999999999999</v>
      </c>
    </row>
    <row r="293" spans="2:8" ht="15">
      <c r="B293" s="61">
        <v>4823114046995</v>
      </c>
      <c r="C293" s="61" t="s">
        <v>660</v>
      </c>
      <c r="D293" s="61">
        <v>60829</v>
      </c>
      <c r="E293" s="61" t="s">
        <v>661</v>
      </c>
      <c r="F293" s="63" t="s">
        <v>16</v>
      </c>
      <c r="G293" s="210">
        <v>55.85</v>
      </c>
      <c r="H293" s="274">
        <v>111.7</v>
      </c>
    </row>
    <row r="294" spans="2:8" ht="15">
      <c r="B294" s="61">
        <v>4823114047008</v>
      </c>
      <c r="C294" s="61" t="s">
        <v>662</v>
      </c>
      <c r="D294" s="61">
        <v>60828</v>
      </c>
      <c r="E294" s="61" t="s">
        <v>661</v>
      </c>
      <c r="F294" s="63" t="s">
        <v>19</v>
      </c>
      <c r="G294" s="210">
        <v>55.85</v>
      </c>
      <c r="H294" s="274">
        <v>111.7</v>
      </c>
    </row>
    <row r="295" spans="2:8" ht="15">
      <c r="B295" s="61">
        <v>4823114047015</v>
      </c>
      <c r="C295" s="61" t="s">
        <v>663</v>
      </c>
      <c r="D295" s="61">
        <v>60831</v>
      </c>
      <c r="E295" s="61" t="s">
        <v>664</v>
      </c>
      <c r="F295" s="63" t="s">
        <v>16</v>
      </c>
      <c r="G295" s="210">
        <v>75.98</v>
      </c>
      <c r="H295" s="274">
        <v>151.96</v>
      </c>
    </row>
    <row r="296" spans="2:8" ht="15">
      <c r="B296" s="61">
        <v>4823114047022</v>
      </c>
      <c r="C296" s="61" t="s">
        <v>665</v>
      </c>
      <c r="D296" s="61">
        <v>60830</v>
      </c>
      <c r="E296" s="61" t="s">
        <v>664</v>
      </c>
      <c r="F296" s="63" t="s">
        <v>19</v>
      </c>
      <c r="G296" s="210">
        <v>75.98</v>
      </c>
      <c r="H296" s="274">
        <v>151.96</v>
      </c>
    </row>
    <row r="297" spans="2:8" ht="15">
      <c r="B297" s="61">
        <v>4823114047060</v>
      </c>
      <c r="C297" s="61" t="s">
        <v>666</v>
      </c>
      <c r="D297" s="61">
        <v>60833</v>
      </c>
      <c r="E297" s="61" t="s">
        <v>667</v>
      </c>
      <c r="F297" s="63" t="s">
        <v>16</v>
      </c>
      <c r="G297" s="210">
        <v>63.58</v>
      </c>
      <c r="H297" s="274">
        <v>127.16</v>
      </c>
    </row>
    <row r="298" spans="2:8" ht="15">
      <c r="B298" s="61">
        <v>4823114047053</v>
      </c>
      <c r="C298" s="61" t="s">
        <v>668</v>
      </c>
      <c r="D298" s="61">
        <v>60832</v>
      </c>
      <c r="E298" s="61" t="s">
        <v>667</v>
      </c>
      <c r="F298" s="63" t="s">
        <v>19</v>
      </c>
      <c r="G298" s="210">
        <v>63.58</v>
      </c>
      <c r="H298" s="274">
        <v>127.16</v>
      </c>
    </row>
    <row r="299" spans="2:8" ht="15">
      <c r="B299" s="61">
        <v>4823114047046</v>
      </c>
      <c r="C299" s="61" t="s">
        <v>669</v>
      </c>
      <c r="D299" s="61">
        <v>60835</v>
      </c>
      <c r="E299" s="61" t="s">
        <v>670</v>
      </c>
      <c r="F299" s="63" t="s">
        <v>16</v>
      </c>
      <c r="G299" s="210">
        <v>82.61</v>
      </c>
      <c r="H299" s="274">
        <v>165.22</v>
      </c>
    </row>
    <row r="300" spans="2:8" ht="15">
      <c r="B300" s="61">
        <v>4823114047039</v>
      </c>
      <c r="C300" s="61" t="s">
        <v>671</v>
      </c>
      <c r="D300" s="61">
        <v>60834</v>
      </c>
      <c r="E300" s="61" t="s">
        <v>670</v>
      </c>
      <c r="F300" s="63" t="s">
        <v>19</v>
      </c>
      <c r="G300" s="210">
        <v>82.61</v>
      </c>
      <c r="H300" s="274">
        <v>165.22</v>
      </c>
    </row>
    <row r="301" spans="2:8" ht="15">
      <c r="B301" s="69">
        <v>4823114056284</v>
      </c>
      <c r="C301" s="69" t="s">
        <v>678</v>
      </c>
      <c r="D301" s="69">
        <v>93359</v>
      </c>
      <c r="E301" s="135" t="s">
        <v>679</v>
      </c>
      <c r="F301" s="179" t="s">
        <v>16</v>
      </c>
      <c r="G301" s="190">
        <v>7.29</v>
      </c>
      <c r="H301" s="190">
        <v>14.59</v>
      </c>
    </row>
    <row r="302" spans="2:8" ht="15">
      <c r="B302" s="87">
        <v>4823114056291</v>
      </c>
      <c r="C302" s="87" t="s">
        <v>680</v>
      </c>
      <c r="D302" s="87">
        <v>93360</v>
      </c>
      <c r="E302" s="34" t="s">
        <v>679</v>
      </c>
      <c r="F302" s="35" t="s">
        <v>19</v>
      </c>
      <c r="G302" s="193">
        <v>7.29</v>
      </c>
      <c r="H302" s="193">
        <v>14.59</v>
      </c>
    </row>
    <row r="303" spans="2:8" ht="15">
      <c r="B303" s="61">
        <v>4823114045219</v>
      </c>
      <c r="C303" s="61" t="s">
        <v>682</v>
      </c>
      <c r="D303" s="61">
        <v>60815</v>
      </c>
      <c r="E303" s="25" t="s">
        <v>683</v>
      </c>
      <c r="F303" s="175" t="s">
        <v>684</v>
      </c>
      <c r="G303" s="222">
        <v>65.25</v>
      </c>
      <c r="H303" s="222">
        <v>130.5</v>
      </c>
    </row>
    <row r="304" spans="2:8" ht="15">
      <c r="B304" s="223" t="s">
        <v>685</v>
      </c>
      <c r="C304" s="224" t="s">
        <v>686</v>
      </c>
      <c r="D304" s="61">
        <v>83805</v>
      </c>
      <c r="E304" s="177" t="s">
        <v>683</v>
      </c>
      <c r="F304" s="178" t="s">
        <v>413</v>
      </c>
      <c r="G304" s="207">
        <v>65.25</v>
      </c>
      <c r="H304" s="207">
        <v>130.5</v>
      </c>
    </row>
    <row r="305" spans="2:8" ht="15">
      <c r="B305" s="61">
        <v>4823114053108</v>
      </c>
      <c r="C305" s="225" t="s">
        <v>687</v>
      </c>
      <c r="D305" s="226">
        <v>87639</v>
      </c>
      <c r="E305" s="227" t="s">
        <v>683</v>
      </c>
      <c r="F305" s="178" t="s">
        <v>688</v>
      </c>
      <c r="G305" s="207">
        <v>65.25</v>
      </c>
      <c r="H305" s="207">
        <v>130.5</v>
      </c>
    </row>
    <row r="306" spans="2:8" ht="15">
      <c r="B306" s="226">
        <v>4823114053221</v>
      </c>
      <c r="C306" s="225" t="s">
        <v>689</v>
      </c>
      <c r="D306" s="226">
        <v>87651</v>
      </c>
      <c r="E306" s="227" t="s">
        <v>683</v>
      </c>
      <c r="F306" s="178" t="s">
        <v>690</v>
      </c>
      <c r="G306" s="207">
        <v>65.25</v>
      </c>
      <c r="H306" s="207">
        <v>130.5</v>
      </c>
    </row>
    <row r="307" spans="2:8" ht="15">
      <c r="B307" s="226">
        <v>4823114053160</v>
      </c>
      <c r="C307" s="225" t="s">
        <v>691</v>
      </c>
      <c r="D307" s="226">
        <v>87645</v>
      </c>
      <c r="E307" s="227" t="s">
        <v>683</v>
      </c>
      <c r="F307" s="178" t="s">
        <v>19</v>
      </c>
      <c r="G307" s="207">
        <v>65.25</v>
      </c>
      <c r="H307" s="207">
        <v>130.5</v>
      </c>
    </row>
    <row r="308" spans="2:8">
      <c r="B308" s="228" t="s">
        <v>692</v>
      </c>
      <c r="C308" s="229" t="s">
        <v>693</v>
      </c>
      <c r="D308" s="230">
        <f ca="1">IFERROR(__xludf.DUMMYFUNCTION("VLOOKUP(SPLIT(C308,"".""),SPLIT(C308,"".""),1)"),94033)</f>
        <v>94033</v>
      </c>
      <c r="E308" s="231" t="s">
        <v>694</v>
      </c>
      <c r="F308" s="232" t="s">
        <v>16</v>
      </c>
      <c r="G308" s="193">
        <v>5.19</v>
      </c>
      <c r="H308" s="193">
        <v>10.38</v>
      </c>
    </row>
    <row r="309" spans="2:8" ht="15">
      <c r="B309" s="61">
        <v>4823114073250</v>
      </c>
      <c r="C309" s="61" t="s">
        <v>696</v>
      </c>
      <c r="D309" s="61">
        <v>125733</v>
      </c>
      <c r="E309" s="61" t="s">
        <v>697</v>
      </c>
      <c r="F309" s="63" t="s">
        <v>16</v>
      </c>
      <c r="G309" s="77">
        <v>570.4</v>
      </c>
      <c r="H309" s="155">
        <v>1140.8</v>
      </c>
    </row>
    <row r="310" spans="2:8" ht="15">
      <c r="B310" s="61">
        <v>4823114073267</v>
      </c>
      <c r="C310" s="61" t="s">
        <v>698</v>
      </c>
      <c r="D310" s="61">
        <v>125732</v>
      </c>
      <c r="E310" s="61" t="s">
        <v>697</v>
      </c>
      <c r="F310" s="63" t="s">
        <v>19</v>
      </c>
      <c r="G310" s="77">
        <v>570.4</v>
      </c>
      <c r="H310" s="155">
        <v>1140.8</v>
      </c>
    </row>
    <row r="311" spans="2:8" ht="15">
      <c r="B311" s="61">
        <v>4823114076817</v>
      </c>
      <c r="C311" s="61" t="s">
        <v>699</v>
      </c>
      <c r="D311" s="61">
        <v>135976</v>
      </c>
      <c r="E311" s="61" t="s">
        <v>700</v>
      </c>
      <c r="F311" s="63" t="s">
        <v>16</v>
      </c>
      <c r="G311" s="77">
        <v>178.25</v>
      </c>
      <c r="H311" s="155">
        <v>356.5</v>
      </c>
    </row>
    <row r="312" spans="2:8" ht="15">
      <c r="B312" s="61">
        <v>4823114076800</v>
      </c>
      <c r="C312" s="61" t="s">
        <v>701</v>
      </c>
      <c r="D312" s="61">
        <v>135975</v>
      </c>
      <c r="E312" s="61" t="s">
        <v>700</v>
      </c>
      <c r="F312" s="63" t="s">
        <v>19</v>
      </c>
      <c r="G312" s="77">
        <v>178.25</v>
      </c>
      <c r="H312" s="155">
        <v>356.5</v>
      </c>
    </row>
    <row r="313" spans="2:8" ht="15">
      <c r="B313" s="69">
        <v>4823114073274</v>
      </c>
      <c r="C313" s="189" t="s">
        <v>702</v>
      </c>
      <c r="D313" s="69">
        <v>127877</v>
      </c>
      <c r="E313" s="135" t="s">
        <v>703</v>
      </c>
      <c r="F313" s="179" t="s">
        <v>16</v>
      </c>
      <c r="G313" s="77">
        <v>46.5</v>
      </c>
      <c r="H313" s="155">
        <v>93</v>
      </c>
    </row>
    <row r="314" spans="2:8" ht="15">
      <c r="B314" s="87">
        <v>4823114073281</v>
      </c>
      <c r="C314" s="87" t="s">
        <v>704</v>
      </c>
      <c r="D314" s="87">
        <v>127876</v>
      </c>
      <c r="E314" s="34" t="s">
        <v>703</v>
      </c>
      <c r="F314" s="35" t="s">
        <v>19</v>
      </c>
      <c r="G314" s="77">
        <v>46.5</v>
      </c>
      <c r="H314" s="155">
        <v>93</v>
      </c>
    </row>
    <row r="315" spans="2:8" ht="15">
      <c r="B315" s="87">
        <v>4823114073298</v>
      </c>
      <c r="C315" s="87" t="s">
        <v>705</v>
      </c>
      <c r="D315" s="87">
        <v>127879</v>
      </c>
      <c r="E315" s="34" t="s">
        <v>706</v>
      </c>
      <c r="F315" s="179" t="s">
        <v>16</v>
      </c>
      <c r="G315" s="77">
        <v>93</v>
      </c>
      <c r="H315" s="155">
        <v>186</v>
      </c>
    </row>
    <row r="316" spans="2:8" ht="15">
      <c r="B316" s="87">
        <v>4823114073304</v>
      </c>
      <c r="C316" s="87" t="s">
        <v>707</v>
      </c>
      <c r="D316" s="87">
        <v>127878</v>
      </c>
      <c r="E316" s="34" t="s">
        <v>706</v>
      </c>
      <c r="F316" s="35" t="s">
        <v>19</v>
      </c>
      <c r="G316" s="77">
        <v>93</v>
      </c>
      <c r="H316" s="155">
        <v>186</v>
      </c>
    </row>
    <row r="317" spans="2:8" ht="15">
      <c r="B317" s="87">
        <v>4823114070952</v>
      </c>
      <c r="C317" s="87" t="s">
        <v>708</v>
      </c>
      <c r="D317" s="87">
        <v>125718</v>
      </c>
      <c r="E317" s="34" t="s">
        <v>709</v>
      </c>
      <c r="F317" s="179" t="s">
        <v>16</v>
      </c>
      <c r="G317" s="77">
        <v>48.050000000000004</v>
      </c>
      <c r="H317" s="155">
        <v>96.100000000000009</v>
      </c>
    </row>
    <row r="318" spans="2:8" ht="15">
      <c r="B318" s="87">
        <v>4823114070945</v>
      </c>
      <c r="C318" s="87" t="s">
        <v>710</v>
      </c>
      <c r="D318" s="87">
        <v>125717</v>
      </c>
      <c r="E318" s="34" t="s">
        <v>709</v>
      </c>
      <c r="F318" s="35" t="s">
        <v>19</v>
      </c>
      <c r="G318" s="77">
        <v>48.050000000000004</v>
      </c>
      <c r="H318" s="155">
        <v>96.100000000000009</v>
      </c>
    </row>
    <row r="319" spans="2:8" ht="15">
      <c r="B319" s="69">
        <v>4823114069277</v>
      </c>
      <c r="C319" s="69" t="s">
        <v>711</v>
      </c>
      <c r="D319" s="69">
        <v>119922</v>
      </c>
      <c r="E319" s="135" t="s">
        <v>712</v>
      </c>
      <c r="F319" s="179" t="s">
        <v>16</v>
      </c>
      <c r="G319" s="77">
        <v>66.650000000000006</v>
      </c>
      <c r="H319" s="155">
        <v>133.30000000000001</v>
      </c>
    </row>
    <row r="320" spans="2:8" ht="15">
      <c r="B320" s="87">
        <v>4823114069260</v>
      </c>
      <c r="C320" s="87" t="s">
        <v>713</v>
      </c>
      <c r="D320" s="87">
        <v>119921</v>
      </c>
      <c r="E320" s="34" t="s">
        <v>712</v>
      </c>
      <c r="F320" s="35" t="s">
        <v>19</v>
      </c>
      <c r="G320" s="77">
        <v>66.650000000000006</v>
      </c>
      <c r="H320" s="155">
        <v>133.30000000000001</v>
      </c>
    </row>
    <row r="321" spans="2:8" ht="15">
      <c r="B321" s="87">
        <v>4823114069253</v>
      </c>
      <c r="C321" s="87" t="s">
        <v>714</v>
      </c>
      <c r="D321" s="87">
        <v>119920</v>
      </c>
      <c r="E321" s="34" t="s">
        <v>715</v>
      </c>
      <c r="F321" s="179" t="s">
        <v>16</v>
      </c>
      <c r="G321" s="77">
        <v>75.95</v>
      </c>
      <c r="H321" s="155">
        <v>151.9</v>
      </c>
    </row>
    <row r="322" spans="2:8" ht="15">
      <c r="B322" s="87">
        <v>4823114069246</v>
      </c>
      <c r="C322" s="87" t="s">
        <v>716</v>
      </c>
      <c r="D322" s="87">
        <v>119919</v>
      </c>
      <c r="E322" s="34" t="s">
        <v>715</v>
      </c>
      <c r="F322" s="35" t="s">
        <v>19</v>
      </c>
      <c r="G322" s="77">
        <v>75.95</v>
      </c>
      <c r="H322" s="155">
        <v>151.9</v>
      </c>
    </row>
    <row r="323" spans="2:8" ht="15">
      <c r="B323" s="69">
        <v>4823114069239</v>
      </c>
      <c r="C323" s="69" t="s">
        <v>717</v>
      </c>
      <c r="D323" s="69">
        <v>119918</v>
      </c>
      <c r="E323" s="135" t="s">
        <v>718</v>
      </c>
      <c r="F323" s="179" t="s">
        <v>16</v>
      </c>
      <c r="G323" s="77">
        <v>66.650000000000006</v>
      </c>
      <c r="H323" s="155">
        <v>133.30000000000001</v>
      </c>
    </row>
    <row r="324" spans="2:8" ht="15">
      <c r="B324" s="87">
        <v>4823114069222</v>
      </c>
      <c r="C324" s="87" t="s">
        <v>719</v>
      </c>
      <c r="D324" s="87">
        <v>119917</v>
      </c>
      <c r="E324" s="34" t="s">
        <v>720</v>
      </c>
      <c r="F324" s="35" t="s">
        <v>19</v>
      </c>
      <c r="G324" s="77">
        <v>66.650000000000006</v>
      </c>
      <c r="H324" s="155">
        <v>133.30000000000001</v>
      </c>
    </row>
    <row r="325" spans="2:8" ht="15">
      <c r="B325" s="87">
        <v>4823114069215</v>
      </c>
      <c r="C325" s="87" t="s">
        <v>721</v>
      </c>
      <c r="D325" s="87">
        <v>119916</v>
      </c>
      <c r="E325" s="34" t="s">
        <v>722</v>
      </c>
      <c r="F325" s="179" t="s">
        <v>16</v>
      </c>
      <c r="G325" s="77">
        <v>75.95</v>
      </c>
      <c r="H325" s="155">
        <v>151.9</v>
      </c>
    </row>
    <row r="326" spans="2:8" ht="15">
      <c r="B326" s="87">
        <v>4823114069208</v>
      </c>
      <c r="C326" s="87" t="s">
        <v>723</v>
      </c>
      <c r="D326" s="87">
        <v>119915</v>
      </c>
      <c r="E326" s="34" t="s">
        <v>724</v>
      </c>
      <c r="F326" s="35" t="s">
        <v>19</v>
      </c>
      <c r="G326" s="77">
        <v>75.95</v>
      </c>
      <c r="H326" s="155">
        <v>151.9</v>
      </c>
    </row>
    <row r="327" spans="2:8" ht="15">
      <c r="B327" s="69">
        <v>4823114068430</v>
      </c>
      <c r="C327" s="69" t="s">
        <v>733</v>
      </c>
      <c r="D327" s="69">
        <v>118606</v>
      </c>
      <c r="E327" s="241" t="s">
        <v>734</v>
      </c>
      <c r="F327" s="35" t="s">
        <v>16</v>
      </c>
      <c r="G327" s="77">
        <v>124</v>
      </c>
      <c r="H327" s="155">
        <v>248</v>
      </c>
    </row>
    <row r="328" spans="2:8" ht="15">
      <c r="B328" s="87">
        <v>4823114068423</v>
      </c>
      <c r="C328" s="87" t="s">
        <v>735</v>
      </c>
      <c r="D328" s="87">
        <v>118605</v>
      </c>
      <c r="E328" s="34" t="s">
        <v>734</v>
      </c>
      <c r="F328" s="35" t="s">
        <v>19</v>
      </c>
      <c r="G328" s="77">
        <v>124</v>
      </c>
      <c r="H328" s="155">
        <v>248</v>
      </c>
    </row>
    <row r="329" spans="2:8" ht="15">
      <c r="B329" s="87">
        <v>4823114068447</v>
      </c>
      <c r="C329" s="87" t="s">
        <v>736</v>
      </c>
      <c r="D329" s="87">
        <v>118607</v>
      </c>
      <c r="E329" s="34" t="s">
        <v>734</v>
      </c>
      <c r="F329" s="181" t="s">
        <v>684</v>
      </c>
      <c r="G329" s="77">
        <v>124</v>
      </c>
      <c r="H329" s="155">
        <v>248</v>
      </c>
    </row>
    <row r="330" spans="2:8" ht="15">
      <c r="B330" s="87">
        <v>4823114068379</v>
      </c>
      <c r="C330" s="87" t="s">
        <v>737</v>
      </c>
      <c r="D330" s="87">
        <v>118600</v>
      </c>
      <c r="E330" s="34" t="s">
        <v>738</v>
      </c>
      <c r="F330" s="35" t="s">
        <v>16</v>
      </c>
      <c r="G330" s="77">
        <v>133.30000000000001</v>
      </c>
      <c r="H330" s="155">
        <v>266.60000000000002</v>
      </c>
    </row>
    <row r="331" spans="2:8" ht="15">
      <c r="B331" s="69">
        <v>4823114068362</v>
      </c>
      <c r="C331" s="69" t="s">
        <v>739</v>
      </c>
      <c r="D331" s="69">
        <v>118599</v>
      </c>
      <c r="E331" s="241" t="s">
        <v>740</v>
      </c>
      <c r="F331" s="35" t="s">
        <v>19</v>
      </c>
      <c r="G331" s="77">
        <v>133.30000000000001</v>
      </c>
      <c r="H331" s="155">
        <v>266.60000000000002</v>
      </c>
    </row>
    <row r="332" spans="2:8" ht="15">
      <c r="B332" s="87">
        <v>4823114068386</v>
      </c>
      <c r="C332" s="87" t="s">
        <v>741</v>
      </c>
      <c r="D332" s="87">
        <v>118601</v>
      </c>
      <c r="E332" s="34" t="s">
        <v>740</v>
      </c>
      <c r="F332" s="181" t="s">
        <v>684</v>
      </c>
      <c r="G332" s="77">
        <v>133.30000000000001</v>
      </c>
      <c r="H332" s="155">
        <v>266.60000000000002</v>
      </c>
    </row>
    <row r="333" spans="2:8" ht="15">
      <c r="B333" s="87">
        <v>4823114068409</v>
      </c>
      <c r="C333" s="87" t="s">
        <v>742</v>
      </c>
      <c r="D333" s="87">
        <v>118603</v>
      </c>
      <c r="E333" s="34" t="s">
        <v>743</v>
      </c>
      <c r="F333" s="35" t="s">
        <v>16</v>
      </c>
      <c r="G333" s="77">
        <v>105.4</v>
      </c>
      <c r="H333" s="155">
        <v>210.8</v>
      </c>
    </row>
    <row r="334" spans="2:8" ht="15">
      <c r="B334" s="87">
        <v>4823114068393</v>
      </c>
      <c r="C334" s="87" t="s">
        <v>744</v>
      </c>
      <c r="D334" s="87">
        <v>118602</v>
      </c>
      <c r="E334" s="34" t="s">
        <v>745</v>
      </c>
      <c r="F334" s="35" t="s">
        <v>19</v>
      </c>
      <c r="G334" s="77">
        <v>105.4</v>
      </c>
      <c r="H334" s="155">
        <v>210.8</v>
      </c>
    </row>
    <row r="335" spans="2:8" ht="15">
      <c r="B335" s="83">
        <v>4823114068416</v>
      </c>
      <c r="C335" s="83" t="s">
        <v>746</v>
      </c>
      <c r="D335" s="83">
        <v>118604</v>
      </c>
      <c r="E335" s="83" t="s">
        <v>745</v>
      </c>
      <c r="F335" s="35" t="s">
        <v>684</v>
      </c>
      <c r="G335" s="77">
        <v>105.4</v>
      </c>
      <c r="H335" s="155">
        <v>210.8</v>
      </c>
    </row>
    <row r="336" spans="2:8" ht="15">
      <c r="B336" s="69">
        <v>4823114070617</v>
      </c>
      <c r="C336" s="69" t="s">
        <v>747</v>
      </c>
      <c r="D336" s="69">
        <v>124591</v>
      </c>
      <c r="E336" s="135" t="s">
        <v>748</v>
      </c>
      <c r="F336" s="179" t="s">
        <v>16</v>
      </c>
      <c r="G336" s="77">
        <v>103.85000000000001</v>
      </c>
      <c r="H336" s="155">
        <v>207.70000000000002</v>
      </c>
    </row>
    <row r="337" spans="2:8" ht="15">
      <c r="B337" s="87">
        <v>4823114070624</v>
      </c>
      <c r="C337" s="87" t="s">
        <v>749</v>
      </c>
      <c r="D337" s="87">
        <v>124590</v>
      </c>
      <c r="E337" s="34" t="s">
        <v>748</v>
      </c>
      <c r="F337" s="35" t="s">
        <v>19</v>
      </c>
      <c r="G337" s="77">
        <v>103.85000000000001</v>
      </c>
      <c r="H337" s="155">
        <v>207.70000000000002</v>
      </c>
    </row>
    <row r="338" spans="2:8" ht="15">
      <c r="B338" s="24">
        <v>4823114015380</v>
      </c>
      <c r="C338" s="25" t="s">
        <v>754</v>
      </c>
      <c r="D338" s="24">
        <f ca="1">IFERROR(__xludf.DUMMYFUNCTION("VLOOKUP(SPLIT(C338,"".""),SPLIT(C338,"".""),1)"),38254)</f>
        <v>38254</v>
      </c>
      <c r="E338" s="25" t="s">
        <v>755</v>
      </c>
      <c r="F338" s="26" t="s">
        <v>16</v>
      </c>
      <c r="G338" s="201">
        <v>34.18</v>
      </c>
      <c r="H338" s="291">
        <v>68.36</v>
      </c>
    </row>
    <row r="339" spans="2:8" ht="15">
      <c r="B339" s="24">
        <v>4823114015373</v>
      </c>
      <c r="C339" s="25" t="s">
        <v>756</v>
      </c>
      <c r="D339" s="24">
        <f ca="1">IFERROR(__xludf.DUMMYFUNCTION("VLOOKUP(SPLIT(C339,"".""),SPLIT(C339,"".""),1)"),38255)</f>
        <v>38255</v>
      </c>
      <c r="E339" s="25" t="s">
        <v>755</v>
      </c>
      <c r="F339" s="26" t="s">
        <v>19</v>
      </c>
      <c r="G339" s="203">
        <v>34.18</v>
      </c>
      <c r="H339" s="205">
        <v>68.36</v>
      </c>
    </row>
    <row r="340" spans="2:8" ht="15">
      <c r="B340" s="24">
        <v>4823114030956</v>
      </c>
      <c r="C340" s="25" t="s">
        <v>758</v>
      </c>
      <c r="D340" s="24">
        <f ca="1">IFERROR(__xludf.DUMMYFUNCTION("VLOOKUP(SPLIT(C340,"".""),SPLIT(C340,"".""),1)"),52270)</f>
        <v>52270</v>
      </c>
      <c r="E340" s="25" t="s">
        <v>759</v>
      </c>
      <c r="F340" s="26" t="s">
        <v>16</v>
      </c>
      <c r="G340" s="201">
        <v>148.44</v>
      </c>
      <c r="H340" s="291">
        <v>296.89</v>
      </c>
    </row>
    <row r="341" spans="2:8" ht="15">
      <c r="B341" s="24">
        <v>4823114030949</v>
      </c>
      <c r="C341" s="25" t="s">
        <v>760</v>
      </c>
      <c r="D341" s="24">
        <f ca="1">IFERROR(__xludf.DUMMYFUNCTION("VLOOKUP(SPLIT(C341,"".""),SPLIT(C341,"".""),1)"),52271)</f>
        <v>52271</v>
      </c>
      <c r="E341" s="25" t="s">
        <v>759</v>
      </c>
      <c r="F341" s="26" t="s">
        <v>19</v>
      </c>
      <c r="G341" s="203">
        <v>148.44</v>
      </c>
      <c r="H341" s="205">
        <v>296.89</v>
      </c>
    </row>
    <row r="342" spans="2:8" ht="15">
      <c r="B342" s="24">
        <v>4823114030994</v>
      </c>
      <c r="C342" s="246" t="s">
        <v>761</v>
      </c>
      <c r="D342" s="24">
        <f ca="1">IFERROR(__xludf.DUMMYFUNCTION("VLOOKUP(SPLIT(C342,"".""),SPLIT(C342,"".""),1)"),52266)</f>
        <v>52266</v>
      </c>
      <c r="E342" s="25" t="s">
        <v>762</v>
      </c>
      <c r="F342" s="26" t="s">
        <v>16</v>
      </c>
      <c r="G342" s="203">
        <v>196.02</v>
      </c>
      <c r="H342" s="205">
        <v>392.04</v>
      </c>
    </row>
    <row r="343" spans="2:8" ht="15">
      <c r="B343" s="24">
        <v>4823114030987</v>
      </c>
      <c r="C343" s="25" t="s">
        <v>763</v>
      </c>
      <c r="D343" s="24">
        <f ca="1">IFERROR(__xludf.DUMMYFUNCTION("VLOOKUP(SPLIT(C343,"".""),SPLIT(C343,"".""),1)"),52267)</f>
        <v>52267</v>
      </c>
      <c r="E343" s="25" t="s">
        <v>762</v>
      </c>
      <c r="F343" s="26" t="s">
        <v>19</v>
      </c>
      <c r="G343" s="203">
        <v>196.02</v>
      </c>
      <c r="H343" s="205">
        <v>392.04</v>
      </c>
    </row>
    <row r="344" spans="2:8" ht="15">
      <c r="B344" s="24">
        <v>4823114030970</v>
      </c>
      <c r="C344" s="25" t="s">
        <v>764</v>
      </c>
      <c r="D344" s="24">
        <f ca="1">IFERROR(__xludf.DUMMYFUNCTION("VLOOKUP(SPLIT(C344,"".""),SPLIT(C344,"".""),1)"),52268)</f>
        <v>52268</v>
      </c>
      <c r="E344" s="25" t="s">
        <v>765</v>
      </c>
      <c r="F344" s="26" t="s">
        <v>16</v>
      </c>
      <c r="G344" s="203">
        <v>167.48</v>
      </c>
      <c r="H344" s="205">
        <v>334.95</v>
      </c>
    </row>
    <row r="345" spans="2:8" ht="15">
      <c r="B345" s="24">
        <v>4823114030963</v>
      </c>
      <c r="C345" s="25" t="s">
        <v>766</v>
      </c>
      <c r="D345" s="24">
        <f ca="1">IFERROR(__xludf.DUMMYFUNCTION("VLOOKUP(SPLIT(C345,"".""),SPLIT(C345,"".""),1)"),52269)</f>
        <v>52269</v>
      </c>
      <c r="E345" s="25" t="s">
        <v>765</v>
      </c>
      <c r="F345" s="26" t="s">
        <v>19</v>
      </c>
      <c r="G345" s="203">
        <v>167.48</v>
      </c>
      <c r="H345" s="205">
        <v>334.95</v>
      </c>
    </row>
    <row r="346" spans="2:8" ht="15">
      <c r="B346" s="61">
        <v>4823114015434</v>
      </c>
      <c r="C346" s="61" t="s">
        <v>768</v>
      </c>
      <c r="D346" s="61">
        <f ca="1">IFERROR(__xludf.DUMMYFUNCTION("VLOOKUP(SPLIT(C346,"".""),SPLIT(C346,"".""),1)"),38189)</f>
        <v>38189</v>
      </c>
      <c r="E346" s="61" t="s">
        <v>769</v>
      </c>
      <c r="F346" s="63" t="s">
        <v>25</v>
      </c>
      <c r="G346" s="201">
        <v>29.77</v>
      </c>
      <c r="H346" s="291">
        <v>59.54</v>
      </c>
    </row>
    <row r="347" spans="2:8" ht="15">
      <c r="B347" s="61">
        <v>4823114015854</v>
      </c>
      <c r="C347" s="61" t="s">
        <v>770</v>
      </c>
      <c r="D347" s="61">
        <f ca="1">IFERROR(__xludf.DUMMYFUNCTION("VLOOKUP(SPLIT(C347,"".""),SPLIT(C347,"".""),1)"),38204)</f>
        <v>38204</v>
      </c>
      <c r="E347" s="86" t="s">
        <v>771</v>
      </c>
      <c r="F347" s="63" t="s">
        <v>25</v>
      </c>
      <c r="G347" s="203">
        <v>29.77</v>
      </c>
      <c r="H347" s="205">
        <v>59.54</v>
      </c>
    </row>
    <row r="348" spans="2:8" ht="15">
      <c r="B348" s="61">
        <v>4823114018589</v>
      </c>
      <c r="C348" s="61" t="s">
        <v>772</v>
      </c>
      <c r="D348" s="61">
        <f ca="1">IFERROR(__xludf.DUMMYFUNCTION("VLOOKUP(SPLIT(C348,"".""),SPLIT(C348,"".""),1)"),51170)</f>
        <v>51170</v>
      </c>
      <c r="E348" s="61" t="s">
        <v>773</v>
      </c>
      <c r="F348" s="63" t="s">
        <v>16</v>
      </c>
      <c r="G348" s="203">
        <v>6.09</v>
      </c>
      <c r="H348" s="205">
        <v>12.18</v>
      </c>
    </row>
    <row r="349" spans="2:8" ht="15">
      <c r="B349" s="61">
        <v>4823114030659</v>
      </c>
      <c r="C349" s="61" t="s">
        <v>775</v>
      </c>
      <c r="D349" s="61">
        <f ca="1">IFERROR(__xludf.DUMMYFUNCTION("VLOOKUP(SPLIT(C349,"".""),SPLIT(C349,"".""),1)"),52272)</f>
        <v>52272</v>
      </c>
      <c r="E349" s="61" t="s">
        <v>776</v>
      </c>
      <c r="F349" s="63" t="s">
        <v>16</v>
      </c>
      <c r="G349" s="201">
        <v>209.34</v>
      </c>
      <c r="H349" s="291">
        <v>418.69</v>
      </c>
    </row>
    <row r="350" spans="2:8" ht="15">
      <c r="B350" s="61">
        <v>4823114030642</v>
      </c>
      <c r="C350" s="61" t="s">
        <v>777</v>
      </c>
      <c r="D350" s="61">
        <f ca="1">IFERROR(__xludf.DUMMYFUNCTION("VLOOKUP(SPLIT(C350,"".""),SPLIT(C350,"".""),1)"),52273)</f>
        <v>52273</v>
      </c>
      <c r="E350" s="61" t="s">
        <v>776</v>
      </c>
      <c r="F350" s="63" t="s">
        <v>19</v>
      </c>
      <c r="G350" s="203">
        <v>209.34</v>
      </c>
      <c r="H350" s="205">
        <v>418.69</v>
      </c>
    </row>
    <row r="351" spans="2:8" ht="15">
      <c r="B351" s="61">
        <v>4823114015809</v>
      </c>
      <c r="C351" s="61" t="s">
        <v>779</v>
      </c>
      <c r="D351" s="61">
        <f ca="1">IFERROR(__xludf.DUMMYFUNCTION("VLOOKUP(SPLIT(C351,"".""),SPLIT(C351,"".""),1)"),38210)</f>
        <v>38210</v>
      </c>
      <c r="E351" s="61" t="s">
        <v>780</v>
      </c>
      <c r="F351" s="63" t="s">
        <v>16</v>
      </c>
      <c r="G351" s="201">
        <v>51.82</v>
      </c>
      <c r="H351" s="291">
        <v>103.64</v>
      </c>
    </row>
    <row r="352" spans="2:8" ht="15">
      <c r="B352" s="61">
        <v>4823114015793</v>
      </c>
      <c r="C352" s="61" t="s">
        <v>781</v>
      </c>
      <c r="D352" s="61">
        <f ca="1">IFERROR(__xludf.DUMMYFUNCTION("VLOOKUP(SPLIT(C352,"".""),SPLIT(C352,"".""),1)"),38209)</f>
        <v>38209</v>
      </c>
      <c r="E352" s="61" t="s">
        <v>780</v>
      </c>
      <c r="F352" s="63" t="s">
        <v>16</v>
      </c>
      <c r="G352" s="203">
        <v>51.82</v>
      </c>
      <c r="H352" s="205">
        <v>103.64</v>
      </c>
    </row>
    <row r="353" spans="2:8" ht="15">
      <c r="B353" s="61">
        <v>4823114029288</v>
      </c>
      <c r="C353" s="61" t="s">
        <v>784</v>
      </c>
      <c r="D353" s="61">
        <f ca="1">IFERROR(__xludf.DUMMYFUNCTION("VLOOKUP(SPLIT(C353,"".""),SPLIT(C353,"".""),1)"),52136)</f>
        <v>52136</v>
      </c>
      <c r="E353" s="61" t="s">
        <v>785</v>
      </c>
      <c r="F353" s="63" t="s">
        <v>25</v>
      </c>
      <c r="G353" s="71">
        <v>46.72</v>
      </c>
      <c r="H353" s="71">
        <v>93.44</v>
      </c>
    </row>
    <row r="354" spans="2:8" ht="15">
      <c r="B354" s="61">
        <v>4823114029295</v>
      </c>
      <c r="C354" s="61" t="s">
        <v>786</v>
      </c>
      <c r="D354" s="61">
        <f ca="1">IFERROR(__xludf.DUMMYFUNCTION("VLOOKUP(SPLIT(C354,"".""),SPLIT(C354,"".""),1)"),52137)</f>
        <v>52137</v>
      </c>
      <c r="E354" s="61" t="s">
        <v>787</v>
      </c>
      <c r="F354" s="63" t="s">
        <v>25</v>
      </c>
      <c r="G354" s="71">
        <v>53.76</v>
      </c>
      <c r="H354" s="71">
        <v>107.53</v>
      </c>
    </row>
    <row r="355" spans="2:8" ht="15">
      <c r="B355" s="69">
        <v>4823114029301</v>
      </c>
      <c r="C355" s="69" t="s">
        <v>788</v>
      </c>
      <c r="D355" s="69">
        <f ca="1">IFERROR(__xludf.DUMMYFUNCTION("VLOOKUP(SPLIT(C355,"".""),SPLIT(C355,"".""),1)"),52138)</f>
        <v>52138</v>
      </c>
      <c r="E355" s="69" t="s">
        <v>789</v>
      </c>
      <c r="F355" s="63" t="s">
        <v>25</v>
      </c>
      <c r="G355" s="71">
        <v>49.96</v>
      </c>
      <c r="H355" s="71">
        <v>99.91</v>
      </c>
    </row>
    <row r="356" spans="2:8" ht="15">
      <c r="B356" s="69">
        <v>4823114053658</v>
      </c>
      <c r="C356" s="189" t="s">
        <v>790</v>
      </c>
      <c r="D356" s="69">
        <v>87944</v>
      </c>
      <c r="E356" s="69" t="s">
        <v>791</v>
      </c>
      <c r="F356" s="70" t="s">
        <v>25</v>
      </c>
      <c r="G356" s="71">
        <v>54.32</v>
      </c>
      <c r="H356" s="71">
        <v>108.63</v>
      </c>
    </row>
    <row r="357" spans="2:8" ht="15">
      <c r="B357" s="87">
        <v>4823114053634</v>
      </c>
      <c r="C357" s="248" t="s">
        <v>792</v>
      </c>
      <c r="D357" s="87">
        <v>87795</v>
      </c>
      <c r="E357" s="87" t="s">
        <v>793</v>
      </c>
      <c r="F357" s="88" t="s">
        <v>25</v>
      </c>
      <c r="G357" s="66">
        <v>55.13</v>
      </c>
      <c r="H357" s="91">
        <v>110.26</v>
      </c>
    </row>
    <row r="358" spans="2:8" ht="15">
      <c r="B358" s="87">
        <v>4823114060953</v>
      </c>
      <c r="C358" s="87" t="s">
        <v>794</v>
      </c>
      <c r="D358" s="87">
        <v>91248</v>
      </c>
      <c r="E358" s="87" t="s">
        <v>795</v>
      </c>
      <c r="F358" s="88" t="s">
        <v>25</v>
      </c>
      <c r="G358" s="249">
        <v>41.01</v>
      </c>
      <c r="H358" s="249">
        <v>82.02</v>
      </c>
    </row>
    <row r="359" spans="2:8" ht="15">
      <c r="B359" s="61">
        <v>4823114029790</v>
      </c>
      <c r="C359" s="61" t="s">
        <v>798</v>
      </c>
      <c r="D359" s="61">
        <f ca="1">IFERROR(__xludf.DUMMYFUNCTION("VLOOKUP(SPLIT(C359,"".""),SPLIT(C359,"".""),1)"),52188)</f>
        <v>52188</v>
      </c>
      <c r="E359" s="61" t="s">
        <v>799</v>
      </c>
      <c r="F359" s="63" t="s">
        <v>25</v>
      </c>
      <c r="G359" s="201">
        <v>4.8099999999999996</v>
      </c>
      <c r="H359" s="291">
        <v>9.61</v>
      </c>
    </row>
    <row r="360" spans="2:8" ht="15">
      <c r="B360" s="61">
        <v>4823114029806</v>
      </c>
      <c r="C360" s="61" t="s">
        <v>800</v>
      </c>
      <c r="D360" s="61">
        <f ca="1">IFERROR(__xludf.DUMMYFUNCTION("VLOOKUP(SPLIT(C360,"".""),SPLIT(C360,"".""),1)"),52189)</f>
        <v>52189</v>
      </c>
      <c r="E360" s="61" t="s">
        <v>801</v>
      </c>
      <c r="F360" s="63" t="s">
        <v>25</v>
      </c>
      <c r="G360" s="203">
        <v>5.66</v>
      </c>
      <c r="H360" s="205">
        <v>11.32</v>
      </c>
    </row>
    <row r="361" spans="2:8" ht="15">
      <c r="B361" s="61">
        <v>4823114029813</v>
      </c>
      <c r="C361" s="61" t="s">
        <v>802</v>
      </c>
      <c r="D361" s="61">
        <f ca="1">IFERROR(__xludf.DUMMYFUNCTION("VLOOKUP(SPLIT(C361,"".""),SPLIT(C361,"".""),1)"),52190)</f>
        <v>52190</v>
      </c>
      <c r="E361" s="61" t="s">
        <v>803</v>
      </c>
      <c r="F361" s="63" t="s">
        <v>25</v>
      </c>
      <c r="G361" s="203">
        <v>6.95</v>
      </c>
      <c r="H361" s="205">
        <v>13.89</v>
      </c>
    </row>
    <row r="362" spans="2:8" ht="15">
      <c r="B362" s="61">
        <v>4823114032349</v>
      </c>
      <c r="C362" s="61" t="s">
        <v>804</v>
      </c>
      <c r="D362" s="61">
        <f ca="1">IFERROR(__xludf.DUMMYFUNCTION("VLOOKUP(SPLIT(C362,"".""),SPLIT(C362,"".""),1)"),52348)</f>
        <v>52348</v>
      </c>
      <c r="E362" s="61" t="s">
        <v>805</v>
      </c>
      <c r="F362" s="63" t="s">
        <v>25</v>
      </c>
      <c r="G362" s="203">
        <v>7.52</v>
      </c>
      <c r="H362" s="205">
        <v>15.03</v>
      </c>
    </row>
    <row r="363" spans="2:8" ht="15">
      <c r="B363" s="61">
        <v>4823114029318</v>
      </c>
      <c r="C363" s="61" t="s">
        <v>807</v>
      </c>
      <c r="D363" s="61">
        <f ca="1">IFERROR(__xludf.DUMMYFUNCTION("VLOOKUP(SPLIT(C363,"".""),SPLIT(C363,"".""),1)"),52171)</f>
        <v>52171</v>
      </c>
      <c r="E363" s="61" t="s">
        <v>808</v>
      </c>
      <c r="F363" s="63" t="s">
        <v>16</v>
      </c>
      <c r="G363" s="201">
        <v>8.61</v>
      </c>
      <c r="H363" s="291">
        <v>17.22</v>
      </c>
    </row>
    <row r="364" spans="2:8" ht="15">
      <c r="B364" s="61">
        <v>4823114029325</v>
      </c>
      <c r="C364" s="61" t="s">
        <v>809</v>
      </c>
      <c r="D364" s="61">
        <f ca="1">IFERROR(__xludf.DUMMYFUNCTION("VLOOKUP(SPLIT(C364,"".""),SPLIT(C364,"".""),1)"),52173)</f>
        <v>52173</v>
      </c>
      <c r="E364" s="61" t="s">
        <v>808</v>
      </c>
      <c r="F364" s="63" t="s">
        <v>810</v>
      </c>
      <c r="G364" s="203">
        <v>8.61</v>
      </c>
      <c r="H364" s="205">
        <v>17.22</v>
      </c>
    </row>
    <row r="365" spans="2:8" ht="15">
      <c r="B365" s="61">
        <v>4823114029332</v>
      </c>
      <c r="C365" s="61" t="s">
        <v>811</v>
      </c>
      <c r="D365" s="61">
        <f ca="1">IFERROR(__xludf.DUMMYFUNCTION("VLOOKUP(SPLIT(C365,"".""),SPLIT(C365,"".""),1)"),52174)</f>
        <v>52174</v>
      </c>
      <c r="E365" s="61" t="s">
        <v>808</v>
      </c>
      <c r="F365" s="63" t="s">
        <v>148</v>
      </c>
      <c r="G365" s="203">
        <v>8.61</v>
      </c>
      <c r="H365" s="205">
        <v>17.22</v>
      </c>
    </row>
    <row r="366" spans="2:8" ht="15">
      <c r="B366" s="61">
        <v>4823114029349</v>
      </c>
      <c r="C366" s="61" t="s">
        <v>812</v>
      </c>
      <c r="D366" s="61">
        <f ca="1">IFERROR(__xludf.DUMMYFUNCTION("VLOOKUP(SPLIT(C366,"".""),SPLIT(C366,"".""),1)"),52175)</f>
        <v>52175</v>
      </c>
      <c r="E366" s="61" t="s">
        <v>808</v>
      </c>
      <c r="F366" s="63" t="s">
        <v>468</v>
      </c>
      <c r="G366" s="203">
        <v>8.61</v>
      </c>
      <c r="H366" s="205">
        <v>17.22</v>
      </c>
    </row>
    <row r="367" spans="2:8" ht="15">
      <c r="B367" s="61">
        <v>4823114029356</v>
      </c>
      <c r="C367" s="61" t="s">
        <v>813</v>
      </c>
      <c r="D367" s="61">
        <f ca="1">IFERROR(__xludf.DUMMYFUNCTION("VLOOKUP(SPLIT(C367,"".""),SPLIT(C367,"".""),1)"),52176)</f>
        <v>52176</v>
      </c>
      <c r="E367" s="61" t="s">
        <v>808</v>
      </c>
      <c r="F367" s="63" t="s">
        <v>814</v>
      </c>
      <c r="G367" s="203">
        <v>8.61</v>
      </c>
      <c r="H367" s="205">
        <v>17.22</v>
      </c>
    </row>
    <row r="368" spans="2:8" ht="15">
      <c r="B368" s="61">
        <v>4823114029363</v>
      </c>
      <c r="C368" s="61" t="s">
        <v>815</v>
      </c>
      <c r="D368" s="61">
        <f ca="1">IFERROR(__xludf.DUMMYFUNCTION("VLOOKUP(SPLIT(C368,"".""),SPLIT(C368,"".""),1)"),52177)</f>
        <v>52177</v>
      </c>
      <c r="E368" s="61" t="s">
        <v>808</v>
      </c>
      <c r="F368" s="63" t="s">
        <v>816</v>
      </c>
      <c r="G368" s="203">
        <v>8.61</v>
      </c>
      <c r="H368" s="205">
        <v>17.22</v>
      </c>
    </row>
    <row r="369" spans="2:8" ht="15">
      <c r="B369" s="61">
        <v>4823114029370</v>
      </c>
      <c r="C369" s="61" t="s">
        <v>817</v>
      </c>
      <c r="D369" s="61">
        <f ca="1">IFERROR(__xludf.DUMMYFUNCTION("VLOOKUP(SPLIT(C369,"".""),SPLIT(C369,"".""),1)"),52178)</f>
        <v>52178</v>
      </c>
      <c r="E369" s="61" t="s">
        <v>808</v>
      </c>
      <c r="F369" s="63" t="s">
        <v>818</v>
      </c>
      <c r="G369" s="203">
        <v>8.61</v>
      </c>
      <c r="H369" s="205">
        <v>17.22</v>
      </c>
    </row>
    <row r="370" spans="2:8" ht="15">
      <c r="B370" s="61">
        <v>4823114029387</v>
      </c>
      <c r="C370" s="61" t="s">
        <v>819</v>
      </c>
      <c r="D370" s="61">
        <f ca="1">IFERROR(__xludf.DUMMYFUNCTION("VLOOKUP(SPLIT(C370,"".""),SPLIT(C370,"".""),1)"),52179)</f>
        <v>52179</v>
      </c>
      <c r="E370" s="61" t="s">
        <v>808</v>
      </c>
      <c r="F370" s="63" t="s">
        <v>19</v>
      </c>
      <c r="G370" s="203">
        <v>8.61</v>
      </c>
      <c r="H370" s="205">
        <v>17.22</v>
      </c>
    </row>
    <row r="371" spans="2:8" ht="15">
      <c r="B371" s="61">
        <v>4823114029394</v>
      </c>
      <c r="C371" s="61" t="s">
        <v>820</v>
      </c>
      <c r="D371" s="61">
        <f ca="1">IFERROR(__xludf.DUMMYFUNCTION("VLOOKUP(SPLIT(C371,"".""),SPLIT(C371,"".""),1)"),52180)</f>
        <v>52180</v>
      </c>
      <c r="E371" s="61" t="s">
        <v>821</v>
      </c>
      <c r="F371" s="63" t="s">
        <v>16</v>
      </c>
      <c r="G371" s="203">
        <v>9.18</v>
      </c>
      <c r="H371" s="205">
        <v>18.37</v>
      </c>
    </row>
    <row r="372" spans="2:8" ht="15">
      <c r="B372" s="61">
        <v>4823114029400</v>
      </c>
      <c r="C372" s="61" t="s">
        <v>822</v>
      </c>
      <c r="D372" s="61">
        <f ca="1">IFERROR(__xludf.DUMMYFUNCTION("VLOOKUP(SPLIT(C372,"".""),SPLIT(C372,"".""),1)"),52181)</f>
        <v>52181</v>
      </c>
      <c r="E372" s="61" t="s">
        <v>821</v>
      </c>
      <c r="F372" s="63" t="s">
        <v>810</v>
      </c>
      <c r="G372" s="203">
        <v>9.18</v>
      </c>
      <c r="H372" s="205">
        <v>18.37</v>
      </c>
    </row>
    <row r="373" spans="2:8" ht="15">
      <c r="B373" s="61">
        <v>4823114029417</v>
      </c>
      <c r="C373" s="61" t="s">
        <v>823</v>
      </c>
      <c r="D373" s="61">
        <f ca="1">IFERROR(__xludf.DUMMYFUNCTION("VLOOKUP(SPLIT(C373,"".""),SPLIT(C373,"".""),1)"),52182)</f>
        <v>52182</v>
      </c>
      <c r="E373" s="61" t="s">
        <v>821</v>
      </c>
      <c r="F373" s="63" t="s">
        <v>148</v>
      </c>
      <c r="G373" s="203">
        <v>9.18</v>
      </c>
      <c r="H373" s="205">
        <v>18.37</v>
      </c>
    </row>
    <row r="374" spans="2:8" ht="15">
      <c r="B374" s="61">
        <v>4823114029424</v>
      </c>
      <c r="C374" s="61" t="s">
        <v>824</v>
      </c>
      <c r="D374" s="61">
        <f ca="1">IFERROR(__xludf.DUMMYFUNCTION("VLOOKUP(SPLIT(C374,"".""),SPLIT(C374,"".""),1)"),52183)</f>
        <v>52183</v>
      </c>
      <c r="E374" s="61" t="s">
        <v>821</v>
      </c>
      <c r="F374" s="63" t="s">
        <v>468</v>
      </c>
      <c r="G374" s="203">
        <v>9.18</v>
      </c>
      <c r="H374" s="205">
        <v>18.37</v>
      </c>
    </row>
    <row r="375" spans="2:8" ht="15">
      <c r="B375" s="61">
        <v>4823114029431</v>
      </c>
      <c r="C375" s="61" t="s">
        <v>825</v>
      </c>
      <c r="D375" s="61">
        <f ca="1">IFERROR(__xludf.DUMMYFUNCTION("VLOOKUP(SPLIT(C375,"".""),SPLIT(C375,"".""),1)"),52184)</f>
        <v>52184</v>
      </c>
      <c r="E375" s="61" t="s">
        <v>821</v>
      </c>
      <c r="F375" s="63" t="s">
        <v>814</v>
      </c>
      <c r="G375" s="203">
        <v>9.18</v>
      </c>
      <c r="H375" s="205">
        <v>18.37</v>
      </c>
    </row>
    <row r="376" spans="2:8" ht="15">
      <c r="B376" s="61">
        <v>4823114029448</v>
      </c>
      <c r="C376" s="61" t="s">
        <v>826</v>
      </c>
      <c r="D376" s="61">
        <f ca="1">IFERROR(__xludf.DUMMYFUNCTION("VLOOKUP(SPLIT(C376,"".""),SPLIT(C376,"".""),1)"),52185)</f>
        <v>52185</v>
      </c>
      <c r="E376" s="61" t="s">
        <v>821</v>
      </c>
      <c r="F376" s="63" t="s">
        <v>816</v>
      </c>
      <c r="G376" s="203">
        <v>9.18</v>
      </c>
      <c r="H376" s="205">
        <v>18.37</v>
      </c>
    </row>
    <row r="377" spans="2:8" ht="15">
      <c r="B377" s="61">
        <v>4823114029455</v>
      </c>
      <c r="C377" s="61" t="s">
        <v>827</v>
      </c>
      <c r="D377" s="61">
        <f ca="1">IFERROR(__xludf.DUMMYFUNCTION("VLOOKUP(SPLIT(C377,"".""),SPLIT(C377,"".""),1)"),52186)</f>
        <v>52186</v>
      </c>
      <c r="E377" s="61" t="s">
        <v>821</v>
      </c>
      <c r="F377" s="63" t="s">
        <v>818</v>
      </c>
      <c r="G377" s="203">
        <v>9.18</v>
      </c>
      <c r="H377" s="205">
        <v>18.37</v>
      </c>
    </row>
    <row r="378" spans="2:8" ht="15">
      <c r="B378" s="61">
        <v>4823114029462</v>
      </c>
      <c r="C378" s="61" t="s">
        <v>828</v>
      </c>
      <c r="D378" s="61">
        <f ca="1">IFERROR(__xludf.DUMMYFUNCTION("VLOOKUP(SPLIT(C378,"".""),SPLIT(C378,"".""),1)"),52187)</f>
        <v>52187</v>
      </c>
      <c r="E378" s="61" t="s">
        <v>821</v>
      </c>
      <c r="F378" s="63" t="s">
        <v>19</v>
      </c>
      <c r="G378" s="203">
        <v>9.18</v>
      </c>
      <c r="H378" s="205">
        <v>18.37</v>
      </c>
    </row>
    <row r="379" spans="2:8" ht="15">
      <c r="B379" s="61">
        <v>4823114029479</v>
      </c>
      <c r="C379" s="61" t="s">
        <v>829</v>
      </c>
      <c r="D379" s="61">
        <f ca="1">IFERROR(__xludf.DUMMYFUNCTION("VLOOKUP(SPLIT(C379,"".""),SPLIT(C379,"".""),1)"),52155)</f>
        <v>52155</v>
      </c>
      <c r="E379" s="61" t="s">
        <v>830</v>
      </c>
      <c r="F379" s="63" t="s">
        <v>16</v>
      </c>
      <c r="G379" s="203">
        <v>7.42</v>
      </c>
      <c r="H379" s="205">
        <v>14.84</v>
      </c>
    </row>
    <row r="380" spans="2:8" ht="15">
      <c r="B380" s="61">
        <v>4823114029486</v>
      </c>
      <c r="C380" s="61" t="s">
        <v>831</v>
      </c>
      <c r="D380" s="61">
        <f ca="1">IFERROR(__xludf.DUMMYFUNCTION("VLOOKUP(SPLIT(C380,"".""),SPLIT(C380,"".""),1)"),52156)</f>
        <v>52156</v>
      </c>
      <c r="E380" s="61" t="s">
        <v>830</v>
      </c>
      <c r="F380" s="63" t="s">
        <v>810</v>
      </c>
      <c r="G380" s="203">
        <v>7.42</v>
      </c>
      <c r="H380" s="205">
        <v>14.84</v>
      </c>
    </row>
    <row r="381" spans="2:8" ht="15">
      <c r="B381" s="61">
        <v>4823114029493</v>
      </c>
      <c r="C381" s="61" t="s">
        <v>832</v>
      </c>
      <c r="D381" s="61">
        <f ca="1">IFERROR(__xludf.DUMMYFUNCTION("VLOOKUP(SPLIT(C381,"".""),SPLIT(C381,"".""),1)"),52157)</f>
        <v>52157</v>
      </c>
      <c r="E381" s="61" t="s">
        <v>830</v>
      </c>
      <c r="F381" s="63" t="s">
        <v>148</v>
      </c>
      <c r="G381" s="203">
        <v>7.42</v>
      </c>
      <c r="H381" s="205">
        <v>14.84</v>
      </c>
    </row>
    <row r="382" spans="2:8" ht="15">
      <c r="B382" s="61">
        <v>4823114029509</v>
      </c>
      <c r="C382" s="61" t="s">
        <v>833</v>
      </c>
      <c r="D382" s="61">
        <f ca="1">IFERROR(__xludf.DUMMYFUNCTION("VLOOKUP(SPLIT(C382,"".""),SPLIT(C382,"".""),1)"),52158)</f>
        <v>52158</v>
      </c>
      <c r="E382" s="61" t="s">
        <v>830</v>
      </c>
      <c r="F382" s="63" t="s">
        <v>468</v>
      </c>
      <c r="G382" s="203">
        <v>7.42</v>
      </c>
      <c r="H382" s="205">
        <v>14.84</v>
      </c>
    </row>
    <row r="383" spans="2:8" ht="15">
      <c r="B383" s="61">
        <v>4823114029516</v>
      </c>
      <c r="C383" s="61" t="s">
        <v>834</v>
      </c>
      <c r="D383" s="61">
        <f ca="1">IFERROR(__xludf.DUMMYFUNCTION("VLOOKUP(SPLIT(C383,"".""),SPLIT(C383,"".""),1)"),52159)</f>
        <v>52159</v>
      </c>
      <c r="E383" s="61" t="s">
        <v>830</v>
      </c>
      <c r="F383" s="63" t="s">
        <v>814</v>
      </c>
      <c r="G383" s="203">
        <v>7.42</v>
      </c>
      <c r="H383" s="205">
        <v>14.84</v>
      </c>
    </row>
    <row r="384" spans="2:8" ht="15">
      <c r="B384" s="61">
        <v>4823114029523</v>
      </c>
      <c r="C384" s="61" t="s">
        <v>835</v>
      </c>
      <c r="D384" s="61">
        <f ca="1">IFERROR(__xludf.DUMMYFUNCTION("VLOOKUP(SPLIT(C384,"".""),SPLIT(C384,"".""),1)"),52160)</f>
        <v>52160</v>
      </c>
      <c r="E384" s="61" t="s">
        <v>830</v>
      </c>
      <c r="F384" s="63" t="s">
        <v>816</v>
      </c>
      <c r="G384" s="203">
        <v>7.42</v>
      </c>
      <c r="H384" s="205">
        <v>14.84</v>
      </c>
    </row>
    <row r="385" spans="2:8" ht="15">
      <c r="B385" s="61">
        <v>4823114029530</v>
      </c>
      <c r="C385" s="61" t="s">
        <v>836</v>
      </c>
      <c r="D385" s="61">
        <f ca="1">IFERROR(__xludf.DUMMYFUNCTION("VLOOKUP(SPLIT(C385,"".""),SPLIT(C385,"".""),1)"),52161)</f>
        <v>52161</v>
      </c>
      <c r="E385" s="61" t="s">
        <v>830</v>
      </c>
      <c r="F385" s="63" t="s">
        <v>818</v>
      </c>
      <c r="G385" s="203">
        <v>7.42</v>
      </c>
      <c r="H385" s="205">
        <v>14.84</v>
      </c>
    </row>
    <row r="386" spans="2:8" ht="15">
      <c r="B386" s="61">
        <v>4823114029547</v>
      </c>
      <c r="C386" s="61" t="s">
        <v>837</v>
      </c>
      <c r="D386" s="61">
        <f ca="1">IFERROR(__xludf.DUMMYFUNCTION("VLOOKUP(SPLIT(C386,"".""),SPLIT(C386,"".""),1)"),52162)</f>
        <v>52162</v>
      </c>
      <c r="E386" s="61" t="s">
        <v>830</v>
      </c>
      <c r="F386" s="63" t="s">
        <v>19</v>
      </c>
      <c r="G386" s="203">
        <v>7.42</v>
      </c>
      <c r="H386" s="205">
        <v>14.84</v>
      </c>
    </row>
    <row r="387" spans="2:8" ht="15">
      <c r="B387" s="61">
        <v>4823114029554</v>
      </c>
      <c r="C387" s="61" t="s">
        <v>838</v>
      </c>
      <c r="D387" s="61">
        <f ca="1">IFERROR(__xludf.DUMMYFUNCTION("VLOOKUP(SPLIT(C387,"".""),SPLIT(C387,"".""),1)"),52163)</f>
        <v>52163</v>
      </c>
      <c r="E387" s="61" t="s">
        <v>839</v>
      </c>
      <c r="F387" s="63" t="s">
        <v>16</v>
      </c>
      <c r="G387" s="203">
        <v>7.99</v>
      </c>
      <c r="H387" s="205">
        <v>15.99</v>
      </c>
    </row>
    <row r="388" spans="2:8" ht="15">
      <c r="B388" s="61">
        <v>4823114029561</v>
      </c>
      <c r="C388" s="61" t="s">
        <v>840</v>
      </c>
      <c r="D388" s="61">
        <f ca="1">IFERROR(__xludf.DUMMYFUNCTION("VLOOKUP(SPLIT(C388,"".""),SPLIT(C388,"".""),1)"),52164)</f>
        <v>52164</v>
      </c>
      <c r="E388" s="61" t="s">
        <v>839</v>
      </c>
      <c r="F388" s="63" t="s">
        <v>810</v>
      </c>
      <c r="G388" s="203">
        <v>7.99</v>
      </c>
      <c r="H388" s="205">
        <v>15.99</v>
      </c>
    </row>
    <row r="389" spans="2:8" ht="15">
      <c r="B389" s="61">
        <v>4823114029578</v>
      </c>
      <c r="C389" s="61" t="s">
        <v>841</v>
      </c>
      <c r="D389" s="61">
        <f ca="1">IFERROR(__xludf.DUMMYFUNCTION("VLOOKUP(SPLIT(C389,"".""),SPLIT(C389,"".""),1)"),52165)</f>
        <v>52165</v>
      </c>
      <c r="E389" s="61" t="s">
        <v>839</v>
      </c>
      <c r="F389" s="63" t="s">
        <v>148</v>
      </c>
      <c r="G389" s="203">
        <v>7.99</v>
      </c>
      <c r="H389" s="205">
        <v>15.99</v>
      </c>
    </row>
    <row r="390" spans="2:8" ht="15">
      <c r="B390" s="61">
        <v>4823114029585</v>
      </c>
      <c r="C390" s="61" t="s">
        <v>842</v>
      </c>
      <c r="D390" s="61">
        <f ca="1">IFERROR(__xludf.DUMMYFUNCTION("VLOOKUP(SPLIT(C390,"".""),SPLIT(C390,"".""),1)"),52166)</f>
        <v>52166</v>
      </c>
      <c r="E390" s="61" t="s">
        <v>839</v>
      </c>
      <c r="F390" s="63" t="s">
        <v>468</v>
      </c>
      <c r="G390" s="203">
        <v>7.99</v>
      </c>
      <c r="H390" s="205">
        <v>15.99</v>
      </c>
    </row>
    <row r="391" spans="2:8" ht="15">
      <c r="B391" s="61">
        <v>4823114029592</v>
      </c>
      <c r="C391" s="61" t="s">
        <v>843</v>
      </c>
      <c r="D391" s="61">
        <f ca="1">IFERROR(__xludf.DUMMYFUNCTION("VLOOKUP(SPLIT(C391,"".""),SPLIT(C391,"".""),1)"),52167)</f>
        <v>52167</v>
      </c>
      <c r="E391" s="61" t="s">
        <v>839</v>
      </c>
      <c r="F391" s="63" t="s">
        <v>814</v>
      </c>
      <c r="G391" s="203">
        <v>7.99</v>
      </c>
      <c r="H391" s="205">
        <v>15.99</v>
      </c>
    </row>
    <row r="392" spans="2:8" ht="15">
      <c r="B392" s="61">
        <v>4823114029608</v>
      </c>
      <c r="C392" s="61" t="s">
        <v>844</v>
      </c>
      <c r="D392" s="61">
        <f ca="1">IFERROR(__xludf.DUMMYFUNCTION("VLOOKUP(SPLIT(C392,"".""),SPLIT(C392,"".""),1)"),52168)</f>
        <v>52168</v>
      </c>
      <c r="E392" s="61" t="s">
        <v>839</v>
      </c>
      <c r="F392" s="63" t="s">
        <v>816</v>
      </c>
      <c r="G392" s="203">
        <v>7.99</v>
      </c>
      <c r="H392" s="205">
        <v>15.99</v>
      </c>
    </row>
    <row r="393" spans="2:8" ht="15">
      <c r="B393" s="61">
        <v>4823114029615</v>
      </c>
      <c r="C393" s="61" t="s">
        <v>845</v>
      </c>
      <c r="D393" s="61">
        <f ca="1">IFERROR(__xludf.DUMMYFUNCTION("VLOOKUP(SPLIT(C393,"".""),SPLIT(C393,"".""),1)"),52169)</f>
        <v>52169</v>
      </c>
      <c r="E393" s="61" t="s">
        <v>839</v>
      </c>
      <c r="F393" s="63" t="s">
        <v>818</v>
      </c>
      <c r="G393" s="203">
        <v>7.99</v>
      </c>
      <c r="H393" s="205">
        <v>15.99</v>
      </c>
    </row>
    <row r="394" spans="2:8" ht="15">
      <c r="B394" s="61">
        <v>4823114029622</v>
      </c>
      <c r="C394" s="61" t="s">
        <v>846</v>
      </c>
      <c r="D394" s="61">
        <f ca="1">IFERROR(__xludf.DUMMYFUNCTION("VLOOKUP(SPLIT(C394,"".""),SPLIT(C394,"".""),1)"),52170)</f>
        <v>52170</v>
      </c>
      <c r="E394" s="61" t="s">
        <v>839</v>
      </c>
      <c r="F394" s="63" t="s">
        <v>19</v>
      </c>
      <c r="G394" s="203">
        <v>7.99</v>
      </c>
      <c r="H394" s="205">
        <v>15.99</v>
      </c>
    </row>
    <row r="395" spans="2:8" ht="15">
      <c r="B395" s="61">
        <v>4823114029639</v>
      </c>
      <c r="C395" s="61" t="s">
        <v>847</v>
      </c>
      <c r="D395" s="61">
        <f ca="1">IFERROR(__xludf.DUMMYFUNCTION("VLOOKUP(SPLIT(C395,"".""),SPLIT(C395,"".""),1)"),52139)</f>
        <v>52139</v>
      </c>
      <c r="E395" s="61" t="s">
        <v>848</v>
      </c>
      <c r="F395" s="63" t="s">
        <v>16</v>
      </c>
      <c r="G395" s="203">
        <v>7.8</v>
      </c>
      <c r="H395" s="205">
        <v>15.61</v>
      </c>
    </row>
    <row r="396" spans="2:8" ht="15">
      <c r="B396" s="61">
        <v>4823114029646</v>
      </c>
      <c r="C396" s="61" t="s">
        <v>849</v>
      </c>
      <c r="D396" s="61">
        <f ca="1">IFERROR(__xludf.DUMMYFUNCTION("VLOOKUP(SPLIT(C396,"".""),SPLIT(C396,"".""),1)"),52140)</f>
        <v>52140</v>
      </c>
      <c r="E396" s="61" t="s">
        <v>848</v>
      </c>
      <c r="F396" s="63" t="s">
        <v>810</v>
      </c>
      <c r="G396" s="203">
        <v>7.8</v>
      </c>
      <c r="H396" s="205">
        <v>15.61</v>
      </c>
    </row>
    <row r="397" spans="2:8" ht="15">
      <c r="B397" s="61">
        <v>4823114029653</v>
      </c>
      <c r="C397" s="61" t="s">
        <v>850</v>
      </c>
      <c r="D397" s="61">
        <f ca="1">IFERROR(__xludf.DUMMYFUNCTION("VLOOKUP(SPLIT(C397,"".""),SPLIT(C397,"".""),1)"),52141)</f>
        <v>52141</v>
      </c>
      <c r="E397" s="61" t="s">
        <v>848</v>
      </c>
      <c r="F397" s="63" t="s">
        <v>148</v>
      </c>
      <c r="G397" s="203">
        <v>7.8</v>
      </c>
      <c r="H397" s="205">
        <v>15.61</v>
      </c>
    </row>
    <row r="398" spans="2:8" ht="15">
      <c r="B398" s="61">
        <v>4823114029660</v>
      </c>
      <c r="C398" s="61" t="s">
        <v>851</v>
      </c>
      <c r="D398" s="61">
        <f ca="1">IFERROR(__xludf.DUMMYFUNCTION("VLOOKUP(SPLIT(C398,"".""),SPLIT(C398,"".""),1)"),52142)</f>
        <v>52142</v>
      </c>
      <c r="E398" s="61" t="s">
        <v>848</v>
      </c>
      <c r="F398" s="63" t="s">
        <v>468</v>
      </c>
      <c r="G398" s="203">
        <v>7.8</v>
      </c>
      <c r="H398" s="205">
        <v>15.61</v>
      </c>
    </row>
    <row r="399" spans="2:8" ht="15">
      <c r="B399" s="61">
        <v>4823114029677</v>
      </c>
      <c r="C399" s="61" t="s">
        <v>852</v>
      </c>
      <c r="D399" s="61">
        <f ca="1">IFERROR(__xludf.DUMMYFUNCTION("VLOOKUP(SPLIT(C399,"".""),SPLIT(C399,"".""),1)"),52143)</f>
        <v>52143</v>
      </c>
      <c r="E399" s="61" t="s">
        <v>848</v>
      </c>
      <c r="F399" s="63" t="s">
        <v>814</v>
      </c>
      <c r="G399" s="203">
        <v>7.8</v>
      </c>
      <c r="H399" s="205">
        <v>15.61</v>
      </c>
    </row>
    <row r="400" spans="2:8" ht="15">
      <c r="B400" s="61">
        <v>4823114029684</v>
      </c>
      <c r="C400" s="61" t="s">
        <v>853</v>
      </c>
      <c r="D400" s="61">
        <f ca="1">IFERROR(__xludf.DUMMYFUNCTION("VLOOKUP(SPLIT(C400,"".""),SPLIT(C400,"".""),1)"),52144)</f>
        <v>52144</v>
      </c>
      <c r="E400" s="61" t="s">
        <v>848</v>
      </c>
      <c r="F400" s="63" t="s">
        <v>816</v>
      </c>
      <c r="G400" s="203">
        <v>7.8</v>
      </c>
      <c r="H400" s="205">
        <v>15.61</v>
      </c>
    </row>
    <row r="401" spans="2:8" ht="15">
      <c r="B401" s="61">
        <v>4823114029691</v>
      </c>
      <c r="C401" s="61" t="s">
        <v>854</v>
      </c>
      <c r="D401" s="61">
        <f ca="1">IFERROR(__xludf.DUMMYFUNCTION("VLOOKUP(SPLIT(C401,"".""),SPLIT(C401,"".""),1)"),52145)</f>
        <v>52145</v>
      </c>
      <c r="E401" s="61" t="s">
        <v>848</v>
      </c>
      <c r="F401" s="63" t="s">
        <v>818</v>
      </c>
      <c r="G401" s="203">
        <v>7.8</v>
      </c>
      <c r="H401" s="205">
        <v>15.61</v>
      </c>
    </row>
    <row r="402" spans="2:8" ht="15">
      <c r="B402" s="61">
        <v>4823114029707</v>
      </c>
      <c r="C402" s="61" t="s">
        <v>855</v>
      </c>
      <c r="D402" s="61">
        <f ca="1">IFERROR(__xludf.DUMMYFUNCTION("VLOOKUP(SPLIT(C402,"".""),SPLIT(C402,"".""),1)"),52146)</f>
        <v>52146</v>
      </c>
      <c r="E402" s="61" t="s">
        <v>848</v>
      </c>
      <c r="F402" s="63" t="s">
        <v>19</v>
      </c>
      <c r="G402" s="203">
        <v>7.8</v>
      </c>
      <c r="H402" s="205">
        <v>15.61</v>
      </c>
    </row>
    <row r="403" spans="2:8" ht="15">
      <c r="B403" s="61">
        <v>4823114029714</v>
      </c>
      <c r="C403" s="61" t="s">
        <v>856</v>
      </c>
      <c r="D403" s="61">
        <f ca="1">IFERROR(__xludf.DUMMYFUNCTION("VLOOKUP(SPLIT(C403,"".""),SPLIT(C403,"".""),1)"),52147)</f>
        <v>52147</v>
      </c>
      <c r="E403" s="61" t="s">
        <v>857</v>
      </c>
      <c r="F403" s="63" t="s">
        <v>16</v>
      </c>
      <c r="G403" s="203">
        <v>8.9</v>
      </c>
      <c r="H403" s="205">
        <v>17.79</v>
      </c>
    </row>
    <row r="404" spans="2:8" ht="15">
      <c r="B404" s="61">
        <v>4823114029721</v>
      </c>
      <c r="C404" s="61" t="s">
        <v>858</v>
      </c>
      <c r="D404" s="61">
        <f ca="1">IFERROR(__xludf.DUMMYFUNCTION("VLOOKUP(SPLIT(C404,"".""),SPLIT(C404,"".""),1)"),52148)</f>
        <v>52148</v>
      </c>
      <c r="E404" s="61" t="s">
        <v>857</v>
      </c>
      <c r="F404" s="63" t="s">
        <v>810</v>
      </c>
      <c r="G404" s="203">
        <v>8.9</v>
      </c>
      <c r="H404" s="205">
        <v>17.79</v>
      </c>
    </row>
    <row r="405" spans="2:8" ht="15">
      <c r="B405" s="61">
        <v>4823114029738</v>
      </c>
      <c r="C405" s="61" t="s">
        <v>859</v>
      </c>
      <c r="D405" s="61">
        <f ca="1">IFERROR(__xludf.DUMMYFUNCTION("VLOOKUP(SPLIT(C405,"".""),SPLIT(C405,"".""),1)"),52149)</f>
        <v>52149</v>
      </c>
      <c r="E405" s="61" t="s">
        <v>857</v>
      </c>
      <c r="F405" s="63" t="s">
        <v>148</v>
      </c>
      <c r="G405" s="203">
        <v>8.9</v>
      </c>
      <c r="H405" s="205">
        <v>17.79</v>
      </c>
    </row>
    <row r="406" spans="2:8" ht="15">
      <c r="B406" s="61">
        <v>4823114029745</v>
      </c>
      <c r="C406" s="61" t="s">
        <v>860</v>
      </c>
      <c r="D406" s="61">
        <f ca="1">IFERROR(__xludf.DUMMYFUNCTION("VLOOKUP(SPLIT(C406,"".""),SPLIT(C406,"".""),1)"),52150)</f>
        <v>52150</v>
      </c>
      <c r="E406" s="61" t="s">
        <v>857</v>
      </c>
      <c r="F406" s="63" t="s">
        <v>468</v>
      </c>
      <c r="G406" s="203">
        <v>8.9</v>
      </c>
      <c r="H406" s="205">
        <v>17.79</v>
      </c>
    </row>
    <row r="407" spans="2:8" ht="15">
      <c r="B407" s="61">
        <v>4823114029752</v>
      </c>
      <c r="C407" s="61" t="s">
        <v>861</v>
      </c>
      <c r="D407" s="61">
        <f ca="1">IFERROR(__xludf.DUMMYFUNCTION("VLOOKUP(SPLIT(C407,"".""),SPLIT(C407,"".""),1)"),52151)</f>
        <v>52151</v>
      </c>
      <c r="E407" s="61" t="s">
        <v>857</v>
      </c>
      <c r="F407" s="63" t="s">
        <v>814</v>
      </c>
      <c r="G407" s="203">
        <v>8.9</v>
      </c>
      <c r="H407" s="205">
        <v>17.79</v>
      </c>
    </row>
    <row r="408" spans="2:8" ht="15">
      <c r="B408" s="61">
        <v>4823114029769</v>
      </c>
      <c r="C408" s="61" t="s">
        <v>862</v>
      </c>
      <c r="D408" s="61">
        <f ca="1">IFERROR(__xludf.DUMMYFUNCTION("VLOOKUP(SPLIT(C408,"".""),SPLIT(C408,"".""),1)"),52152)</f>
        <v>52152</v>
      </c>
      <c r="E408" s="61" t="s">
        <v>857</v>
      </c>
      <c r="F408" s="63" t="s">
        <v>816</v>
      </c>
      <c r="G408" s="203">
        <v>8.9</v>
      </c>
      <c r="H408" s="205">
        <v>17.79</v>
      </c>
    </row>
    <row r="409" spans="2:8" ht="15">
      <c r="B409" s="69">
        <v>4823114029776</v>
      </c>
      <c r="C409" s="69" t="s">
        <v>863</v>
      </c>
      <c r="D409" s="69">
        <f ca="1">IFERROR(__xludf.DUMMYFUNCTION("VLOOKUP(SPLIT(C409,"".""),SPLIT(C409,"".""),1)"),52153)</f>
        <v>52153</v>
      </c>
      <c r="E409" s="69" t="s">
        <v>857</v>
      </c>
      <c r="F409" s="70" t="s">
        <v>818</v>
      </c>
      <c r="G409" s="203">
        <v>8.9</v>
      </c>
      <c r="H409" s="205">
        <v>17.79</v>
      </c>
    </row>
    <row r="410" spans="2:8" ht="15">
      <c r="B410" s="87">
        <v>4823114029783</v>
      </c>
      <c r="C410" s="87" t="s">
        <v>864</v>
      </c>
      <c r="D410" s="87">
        <f ca="1">IFERROR(__xludf.DUMMYFUNCTION("VLOOKUP(SPLIT(C410,"".""),SPLIT(C410,"".""),1)"),52154)</f>
        <v>52154</v>
      </c>
      <c r="E410" s="87" t="s">
        <v>857</v>
      </c>
      <c r="F410" s="88" t="s">
        <v>19</v>
      </c>
      <c r="G410" s="203">
        <v>8.9</v>
      </c>
      <c r="H410" s="205">
        <v>17.79</v>
      </c>
    </row>
    <row r="411" spans="2:8" ht="15">
      <c r="B411" s="87">
        <v>4823114061295</v>
      </c>
      <c r="C411" s="87" t="s">
        <v>866</v>
      </c>
      <c r="D411" s="87">
        <v>98607</v>
      </c>
      <c r="E411" s="87" t="s">
        <v>867</v>
      </c>
      <c r="F411" s="88" t="s">
        <v>16</v>
      </c>
      <c r="G411" s="36">
        <v>15.33</v>
      </c>
      <c r="H411" s="36">
        <v>30.66</v>
      </c>
    </row>
    <row r="412" spans="2:8" ht="15">
      <c r="B412" s="87">
        <v>4823114061370</v>
      </c>
      <c r="C412" s="87" t="s">
        <v>868</v>
      </c>
      <c r="D412" s="87">
        <v>91254</v>
      </c>
      <c r="E412" s="87" t="s">
        <v>867</v>
      </c>
      <c r="F412" s="88" t="s">
        <v>19</v>
      </c>
      <c r="G412" s="36">
        <v>15.33</v>
      </c>
      <c r="H412" s="36">
        <v>30.66</v>
      </c>
    </row>
    <row r="413" spans="2:8" ht="15">
      <c r="B413" s="87">
        <v>4823114061356</v>
      </c>
      <c r="C413" s="87" t="s">
        <v>869</v>
      </c>
      <c r="D413" s="87">
        <v>98613</v>
      </c>
      <c r="E413" s="87" t="s">
        <v>867</v>
      </c>
      <c r="F413" s="88" t="s">
        <v>818</v>
      </c>
      <c r="G413" s="36">
        <v>15.33</v>
      </c>
      <c r="H413" s="36">
        <v>30.66</v>
      </c>
    </row>
    <row r="414" spans="2:8" ht="15">
      <c r="B414" s="87">
        <v>4823114061349</v>
      </c>
      <c r="C414" s="87" t="s">
        <v>870</v>
      </c>
      <c r="D414" s="87">
        <v>98612</v>
      </c>
      <c r="E414" s="87" t="s">
        <v>867</v>
      </c>
      <c r="F414" s="88" t="s">
        <v>816</v>
      </c>
      <c r="G414" s="36">
        <v>15.33</v>
      </c>
      <c r="H414" s="36">
        <v>30.66</v>
      </c>
    </row>
    <row r="415" spans="2:8" ht="15">
      <c r="B415" s="87">
        <v>4823114061332</v>
      </c>
      <c r="C415" s="87" t="s">
        <v>871</v>
      </c>
      <c r="D415" s="87">
        <v>98611</v>
      </c>
      <c r="E415" s="87" t="s">
        <v>867</v>
      </c>
      <c r="F415" s="88" t="s">
        <v>814</v>
      </c>
      <c r="G415" s="36">
        <v>15.33</v>
      </c>
      <c r="H415" s="36">
        <v>30.66</v>
      </c>
    </row>
    <row r="416" spans="2:8" ht="15">
      <c r="B416" s="87">
        <v>4823114061325</v>
      </c>
      <c r="C416" s="87" t="s">
        <v>872</v>
      </c>
      <c r="D416" s="87">
        <v>98610</v>
      </c>
      <c r="E416" s="87" t="s">
        <v>867</v>
      </c>
      <c r="F416" s="88" t="s">
        <v>468</v>
      </c>
      <c r="G416" s="36">
        <v>15.33</v>
      </c>
      <c r="H416" s="36">
        <v>30.66</v>
      </c>
    </row>
    <row r="417" spans="2:8" ht="15">
      <c r="B417" s="87">
        <v>4823114061318</v>
      </c>
      <c r="C417" s="86" t="s">
        <v>873</v>
      </c>
      <c r="D417" s="87">
        <v>98609</v>
      </c>
      <c r="E417" s="87" t="s">
        <v>867</v>
      </c>
      <c r="F417" s="88" t="s">
        <v>148</v>
      </c>
      <c r="G417" s="36">
        <v>15.33</v>
      </c>
      <c r="H417" s="36">
        <v>30.66</v>
      </c>
    </row>
    <row r="418" spans="2:8" ht="15">
      <c r="B418" s="87">
        <v>4823114061301</v>
      </c>
      <c r="C418" s="86" t="s">
        <v>874</v>
      </c>
      <c r="D418" s="87">
        <v>98608</v>
      </c>
      <c r="E418" s="87" t="s">
        <v>867</v>
      </c>
      <c r="F418" s="88" t="s">
        <v>810</v>
      </c>
      <c r="G418" s="36">
        <v>15.33</v>
      </c>
      <c r="H418" s="36">
        <v>30.66</v>
      </c>
    </row>
    <row r="419" spans="2:8" ht="15">
      <c r="B419" s="87">
        <v>4823114061080</v>
      </c>
      <c r="C419" s="87" t="s">
        <v>875</v>
      </c>
      <c r="D419" s="87">
        <v>98585</v>
      </c>
      <c r="E419" s="87" t="s">
        <v>876</v>
      </c>
      <c r="F419" s="88" t="s">
        <v>16</v>
      </c>
      <c r="G419" s="36">
        <v>14.08</v>
      </c>
      <c r="H419" s="36">
        <v>28.16</v>
      </c>
    </row>
    <row r="420" spans="2:8" ht="15">
      <c r="B420" s="87">
        <v>4823114060984</v>
      </c>
      <c r="C420" s="87" t="s">
        <v>877</v>
      </c>
      <c r="D420" s="87">
        <v>91250</v>
      </c>
      <c r="E420" s="87" t="s">
        <v>876</v>
      </c>
      <c r="F420" s="88" t="s">
        <v>19</v>
      </c>
      <c r="G420" s="36">
        <v>14.08</v>
      </c>
      <c r="H420" s="36">
        <v>28.16</v>
      </c>
    </row>
    <row r="421" spans="2:8" ht="15">
      <c r="B421" s="87">
        <v>4823114061141</v>
      </c>
      <c r="C421" s="87" t="s">
        <v>878</v>
      </c>
      <c r="D421" s="87">
        <v>98591</v>
      </c>
      <c r="E421" s="87" t="s">
        <v>876</v>
      </c>
      <c r="F421" s="88" t="s">
        <v>818</v>
      </c>
      <c r="G421" s="36">
        <v>14.08</v>
      </c>
      <c r="H421" s="36">
        <v>28.16</v>
      </c>
    </row>
    <row r="422" spans="2:8" ht="15">
      <c r="B422" s="87">
        <v>4823114061134</v>
      </c>
      <c r="C422" s="87" t="s">
        <v>879</v>
      </c>
      <c r="D422" s="87">
        <v>98590</v>
      </c>
      <c r="E422" s="87" t="s">
        <v>876</v>
      </c>
      <c r="F422" s="88" t="s">
        <v>816</v>
      </c>
      <c r="G422" s="36">
        <v>14.08</v>
      </c>
      <c r="H422" s="36">
        <v>28.16</v>
      </c>
    </row>
    <row r="423" spans="2:8" ht="15">
      <c r="B423" s="87">
        <v>4823114061127</v>
      </c>
      <c r="C423" s="87" t="s">
        <v>880</v>
      </c>
      <c r="D423" s="87">
        <v>98589</v>
      </c>
      <c r="E423" s="87" t="s">
        <v>876</v>
      </c>
      <c r="F423" s="88" t="s">
        <v>814</v>
      </c>
      <c r="G423" s="36">
        <v>14.08</v>
      </c>
      <c r="H423" s="36">
        <v>28.16</v>
      </c>
    </row>
    <row r="424" spans="2:8" ht="15">
      <c r="B424" s="87">
        <v>4823114061110</v>
      </c>
      <c r="C424" s="87" t="s">
        <v>881</v>
      </c>
      <c r="D424" s="87">
        <v>98588</v>
      </c>
      <c r="E424" s="87" t="s">
        <v>876</v>
      </c>
      <c r="F424" s="88" t="s">
        <v>468</v>
      </c>
      <c r="G424" s="36">
        <v>14.08</v>
      </c>
      <c r="H424" s="36">
        <v>28.16</v>
      </c>
    </row>
    <row r="425" spans="2:8" ht="15">
      <c r="B425" s="87">
        <v>4823114061103</v>
      </c>
      <c r="C425" s="87" t="s">
        <v>882</v>
      </c>
      <c r="D425" s="87">
        <v>98587</v>
      </c>
      <c r="E425" s="87" t="s">
        <v>876</v>
      </c>
      <c r="F425" s="88" t="s">
        <v>148</v>
      </c>
      <c r="G425" s="36">
        <v>14.08</v>
      </c>
      <c r="H425" s="36">
        <v>28.16</v>
      </c>
    </row>
    <row r="426" spans="2:8" ht="15">
      <c r="B426" s="87">
        <v>4823114061097</v>
      </c>
      <c r="C426" s="87" t="s">
        <v>883</v>
      </c>
      <c r="D426" s="87">
        <v>98586</v>
      </c>
      <c r="E426" s="87" t="s">
        <v>876</v>
      </c>
      <c r="F426" s="88" t="s">
        <v>810</v>
      </c>
      <c r="G426" s="36">
        <v>14.08</v>
      </c>
      <c r="H426" s="36">
        <v>28.16</v>
      </c>
    </row>
    <row r="427" spans="2:8" ht="15">
      <c r="B427" s="87">
        <v>4823114061011</v>
      </c>
      <c r="C427" s="87" t="s">
        <v>884</v>
      </c>
      <c r="D427" s="87">
        <v>98578</v>
      </c>
      <c r="E427" s="87" t="s">
        <v>885</v>
      </c>
      <c r="F427" s="88" t="s">
        <v>16</v>
      </c>
      <c r="G427" s="36">
        <v>14.08</v>
      </c>
      <c r="H427" s="36">
        <v>28.16</v>
      </c>
    </row>
    <row r="428" spans="2:8" ht="15">
      <c r="B428" s="87">
        <v>4823114060991</v>
      </c>
      <c r="C428" s="87" t="s">
        <v>886</v>
      </c>
      <c r="D428" s="87">
        <v>91252</v>
      </c>
      <c r="E428" s="87" t="s">
        <v>885</v>
      </c>
      <c r="F428" s="88" t="s">
        <v>19</v>
      </c>
      <c r="G428" s="36">
        <v>14.08</v>
      </c>
      <c r="H428" s="36">
        <v>28.16</v>
      </c>
    </row>
    <row r="429" spans="2:8" ht="15">
      <c r="B429" s="87">
        <v>4823114061073</v>
      </c>
      <c r="C429" s="87" t="s">
        <v>887</v>
      </c>
      <c r="D429" s="87">
        <v>98584</v>
      </c>
      <c r="E429" s="87" t="s">
        <v>885</v>
      </c>
      <c r="F429" s="88" t="s">
        <v>818</v>
      </c>
      <c r="G429" s="36">
        <v>14.08</v>
      </c>
      <c r="H429" s="36">
        <v>28.16</v>
      </c>
    </row>
    <row r="430" spans="2:8" ht="15">
      <c r="B430" s="87">
        <v>4823114061066</v>
      </c>
      <c r="C430" s="87" t="s">
        <v>888</v>
      </c>
      <c r="D430" s="87">
        <v>98583</v>
      </c>
      <c r="E430" s="87" t="s">
        <v>885</v>
      </c>
      <c r="F430" s="88" t="s">
        <v>816</v>
      </c>
      <c r="G430" s="36">
        <v>14.08</v>
      </c>
      <c r="H430" s="36">
        <v>28.16</v>
      </c>
    </row>
    <row r="431" spans="2:8" ht="15">
      <c r="B431" s="87">
        <v>4823114061059</v>
      </c>
      <c r="C431" s="87" t="s">
        <v>889</v>
      </c>
      <c r="D431" s="87">
        <v>98582</v>
      </c>
      <c r="E431" s="87" t="s">
        <v>885</v>
      </c>
      <c r="F431" s="88" t="s">
        <v>814</v>
      </c>
      <c r="G431" s="36">
        <v>14.08</v>
      </c>
      <c r="H431" s="36">
        <v>28.16</v>
      </c>
    </row>
    <row r="432" spans="2:8" ht="15">
      <c r="B432" s="87">
        <v>4823114061042</v>
      </c>
      <c r="C432" s="87" t="s">
        <v>890</v>
      </c>
      <c r="D432" s="87">
        <v>98581</v>
      </c>
      <c r="E432" s="87" t="s">
        <v>885</v>
      </c>
      <c r="F432" s="88" t="s">
        <v>468</v>
      </c>
      <c r="G432" s="36">
        <v>14.08</v>
      </c>
      <c r="H432" s="36">
        <v>28.16</v>
      </c>
    </row>
    <row r="433" spans="2:8" ht="15">
      <c r="B433" s="87">
        <v>4823114061035</v>
      </c>
      <c r="C433" s="87" t="s">
        <v>891</v>
      </c>
      <c r="D433" s="87">
        <v>98580</v>
      </c>
      <c r="E433" s="87" t="s">
        <v>885</v>
      </c>
      <c r="F433" s="88" t="s">
        <v>148</v>
      </c>
      <c r="G433" s="36">
        <v>14.08</v>
      </c>
      <c r="H433" s="36">
        <v>28.16</v>
      </c>
    </row>
    <row r="434" spans="2:8" ht="15">
      <c r="B434" s="87">
        <v>4823114061028</v>
      </c>
      <c r="C434" s="87" t="s">
        <v>892</v>
      </c>
      <c r="D434" s="87">
        <v>98579</v>
      </c>
      <c r="E434" s="87" t="s">
        <v>885</v>
      </c>
      <c r="F434" s="88" t="s">
        <v>810</v>
      </c>
      <c r="G434" s="36">
        <v>14.08</v>
      </c>
      <c r="H434" s="36">
        <v>28.16</v>
      </c>
    </row>
    <row r="435" spans="2:8" ht="15">
      <c r="B435" s="61">
        <v>4823114045127</v>
      </c>
      <c r="C435" s="33" t="s">
        <v>895</v>
      </c>
      <c r="D435" s="61">
        <f ca="1">IFERROR(__xludf.DUMMYFUNCTION("VLOOKUP(SPLIT(C435,"".""),SPLIT(C435,"".""),1)"),72569)</f>
        <v>72569</v>
      </c>
      <c r="E435" s="61" t="s">
        <v>896</v>
      </c>
      <c r="F435" s="63" t="s">
        <v>25</v>
      </c>
      <c r="G435" s="262">
        <v>30</v>
      </c>
      <c r="H435" s="263">
        <v>60</v>
      </c>
    </row>
    <row r="436" spans="2:8" ht="15">
      <c r="B436" s="87">
        <v>4823114062155</v>
      </c>
      <c r="C436" s="33" t="s">
        <v>897</v>
      </c>
      <c r="D436" s="87">
        <v>102913</v>
      </c>
      <c r="E436" s="87" t="s">
        <v>898</v>
      </c>
      <c r="F436" s="88" t="s">
        <v>25</v>
      </c>
      <c r="G436" s="36">
        <v>8.44</v>
      </c>
      <c r="H436" s="36">
        <v>16.88</v>
      </c>
    </row>
    <row r="437" spans="2:8" ht="15">
      <c r="B437" s="87">
        <v>4823114062179</v>
      </c>
      <c r="C437" s="33" t="s">
        <v>899</v>
      </c>
      <c r="D437" s="87">
        <v>102915</v>
      </c>
      <c r="E437" s="87" t="s">
        <v>900</v>
      </c>
      <c r="F437" s="88" t="s">
        <v>25</v>
      </c>
      <c r="G437" s="36">
        <v>8.44</v>
      </c>
      <c r="H437" s="36">
        <v>16.88</v>
      </c>
    </row>
    <row r="438" spans="2:8" ht="15">
      <c r="B438" s="87">
        <v>4823114073502</v>
      </c>
      <c r="C438" s="33" t="s">
        <v>901</v>
      </c>
      <c r="D438" s="83">
        <v>128846</v>
      </c>
      <c r="E438" s="34" t="s">
        <v>902</v>
      </c>
      <c r="F438" s="35" t="s">
        <v>16</v>
      </c>
      <c r="G438" s="36">
        <v>6.83</v>
      </c>
      <c r="H438" s="36">
        <v>13.66</v>
      </c>
    </row>
    <row r="439" spans="2:8" ht="15">
      <c r="B439" s="87">
        <v>4823114071294</v>
      </c>
      <c r="C439" s="33" t="s">
        <v>903</v>
      </c>
      <c r="D439" s="83">
        <v>126185</v>
      </c>
      <c r="E439" s="34" t="s">
        <v>902</v>
      </c>
      <c r="F439" s="35" t="s">
        <v>19</v>
      </c>
      <c r="G439" s="36">
        <v>6.83</v>
      </c>
      <c r="H439" s="36">
        <v>13.66</v>
      </c>
    </row>
    <row r="440" spans="2:8" ht="15">
      <c r="B440" s="87">
        <v>4823114073519</v>
      </c>
      <c r="C440" s="33" t="s">
        <v>904</v>
      </c>
      <c r="D440" s="83">
        <v>128848</v>
      </c>
      <c r="E440" s="34" t="s">
        <v>905</v>
      </c>
      <c r="F440" s="35" t="s">
        <v>16</v>
      </c>
      <c r="G440" s="36">
        <v>6.83</v>
      </c>
      <c r="H440" s="36">
        <v>13.66</v>
      </c>
    </row>
    <row r="441" spans="2:8" ht="15">
      <c r="B441" s="87">
        <v>4823114071300</v>
      </c>
      <c r="C441" s="33" t="s">
        <v>906</v>
      </c>
      <c r="D441" s="83">
        <v>126186</v>
      </c>
      <c r="E441" s="34" t="s">
        <v>905</v>
      </c>
      <c r="F441" s="35" t="s">
        <v>19</v>
      </c>
      <c r="G441" s="36">
        <v>6.83</v>
      </c>
      <c r="H441" s="36">
        <v>13.66</v>
      </c>
    </row>
    <row r="442" spans="2:8" ht="15">
      <c r="B442" s="61">
        <v>4823114041518</v>
      </c>
      <c r="C442" s="33" t="s">
        <v>907</v>
      </c>
      <c r="D442" s="61">
        <f ca="1">IFERROR(__xludf.DUMMYFUNCTION("VLOOKUP(SPLIT(C442,"".""),SPLIT(C442,"".""),1)"),52805)</f>
        <v>52805</v>
      </c>
      <c r="E442" s="61" t="s">
        <v>908</v>
      </c>
      <c r="F442" s="63" t="s">
        <v>16</v>
      </c>
      <c r="G442" s="249">
        <v>10.97</v>
      </c>
      <c r="H442" s="249">
        <v>21.95</v>
      </c>
    </row>
    <row r="443" spans="2:8" ht="15">
      <c r="B443" s="61">
        <v>4823114041525</v>
      </c>
      <c r="C443" s="103" t="s">
        <v>909</v>
      </c>
      <c r="D443" s="61">
        <f ca="1">IFERROR(__xludf.DUMMYFUNCTION("VLOOKUP(SPLIT(C443,"".""),SPLIT(C443,"".""),1)"),60030)</f>
        <v>60030</v>
      </c>
      <c r="E443" s="61" t="s">
        <v>908</v>
      </c>
      <c r="F443" s="63" t="s">
        <v>810</v>
      </c>
      <c r="G443" s="193">
        <v>10.97</v>
      </c>
      <c r="H443" s="193">
        <v>21.95</v>
      </c>
    </row>
    <row r="444" spans="2:8" ht="15">
      <c r="B444" s="61">
        <v>4823114041532</v>
      </c>
      <c r="C444" s="103" t="s">
        <v>910</v>
      </c>
      <c r="D444" s="61">
        <f ca="1">IFERROR(__xludf.DUMMYFUNCTION("VLOOKUP(SPLIT(C444,"".""),SPLIT(C444,"".""),1)"),60029)</f>
        <v>60029</v>
      </c>
      <c r="E444" s="61" t="s">
        <v>908</v>
      </c>
      <c r="F444" s="63" t="s">
        <v>148</v>
      </c>
      <c r="G444" s="193">
        <v>10.97</v>
      </c>
      <c r="H444" s="193">
        <v>21.95</v>
      </c>
    </row>
    <row r="445" spans="2:8" ht="15">
      <c r="B445" s="61">
        <v>4823114041549</v>
      </c>
      <c r="C445" s="103" t="s">
        <v>911</v>
      </c>
      <c r="D445" s="61">
        <f ca="1">IFERROR(__xludf.DUMMYFUNCTION("VLOOKUP(SPLIT(C445,"".""),SPLIT(C445,"".""),1)"),60028)</f>
        <v>60028</v>
      </c>
      <c r="E445" s="61" t="s">
        <v>908</v>
      </c>
      <c r="F445" s="63" t="s">
        <v>468</v>
      </c>
      <c r="G445" s="193">
        <v>10.97</v>
      </c>
      <c r="H445" s="193">
        <v>21.95</v>
      </c>
    </row>
    <row r="446" spans="2:8" ht="15">
      <c r="B446" s="61">
        <v>4823114041556</v>
      </c>
      <c r="C446" s="103" t="s">
        <v>912</v>
      </c>
      <c r="D446" s="61">
        <f ca="1">IFERROR(__xludf.DUMMYFUNCTION("VLOOKUP(SPLIT(C446,"".""),SPLIT(C446,"".""),1)"),60027)</f>
        <v>60027</v>
      </c>
      <c r="E446" s="61" t="s">
        <v>908</v>
      </c>
      <c r="F446" s="63" t="s">
        <v>814</v>
      </c>
      <c r="G446" s="193">
        <v>10.97</v>
      </c>
      <c r="H446" s="193">
        <v>21.95</v>
      </c>
    </row>
    <row r="447" spans="2:8" ht="15">
      <c r="B447" s="61">
        <v>4823114041563</v>
      </c>
      <c r="C447" s="103" t="s">
        <v>913</v>
      </c>
      <c r="D447" s="61">
        <f ca="1">IFERROR(__xludf.DUMMYFUNCTION("VLOOKUP(SPLIT(C447,"".""),SPLIT(C447,"".""),1)"),60026)</f>
        <v>60026</v>
      </c>
      <c r="E447" s="61" t="s">
        <v>908</v>
      </c>
      <c r="F447" s="63" t="s">
        <v>816</v>
      </c>
      <c r="G447" s="193">
        <v>10.97</v>
      </c>
      <c r="H447" s="193">
        <v>21.95</v>
      </c>
    </row>
    <row r="448" spans="2:8" ht="15">
      <c r="B448" s="61">
        <v>4823114041570</v>
      </c>
      <c r="C448" s="103" t="s">
        <v>914</v>
      </c>
      <c r="D448" s="61">
        <f ca="1">IFERROR(__xludf.DUMMYFUNCTION("VLOOKUP(SPLIT(C448,"".""),SPLIT(C448,"".""),1)"),60025)</f>
        <v>60025</v>
      </c>
      <c r="E448" s="61" t="s">
        <v>908</v>
      </c>
      <c r="F448" s="63" t="s">
        <v>818</v>
      </c>
      <c r="G448" s="193">
        <v>10.97</v>
      </c>
      <c r="H448" s="193">
        <v>21.95</v>
      </c>
    </row>
    <row r="449" spans="2:8" ht="15">
      <c r="B449" s="61">
        <v>4823114045158</v>
      </c>
      <c r="C449" s="103" t="s">
        <v>915</v>
      </c>
      <c r="D449" s="61">
        <f ca="1">IFERROR(__xludf.DUMMYFUNCTION("VLOOKUP(SPLIT(C449,"".""),SPLIT(C449,"".""),1)"),72572)</f>
        <v>72572</v>
      </c>
      <c r="E449" s="61" t="s">
        <v>908</v>
      </c>
      <c r="F449" s="63" t="s">
        <v>19</v>
      </c>
      <c r="G449" s="193">
        <v>10.97</v>
      </c>
      <c r="H449" s="193">
        <v>21.95</v>
      </c>
    </row>
    <row r="450" spans="2:8" ht="15">
      <c r="B450" s="61">
        <v>4823114041198</v>
      </c>
      <c r="C450" s="33" t="s">
        <v>916</v>
      </c>
      <c r="D450" s="61">
        <f ca="1">IFERROR(__xludf.DUMMYFUNCTION("VLOOKUP(SPLIT(C450,"".""),SPLIT(C450,"".""),1)"),52807)</f>
        <v>52807</v>
      </c>
      <c r="E450" s="61" t="s">
        <v>917</v>
      </c>
      <c r="F450" s="63" t="s">
        <v>16</v>
      </c>
      <c r="G450" s="193">
        <v>10.62</v>
      </c>
      <c r="H450" s="193">
        <v>21.23</v>
      </c>
    </row>
    <row r="451" spans="2:8" ht="15">
      <c r="B451" s="61">
        <v>4823114041204</v>
      </c>
      <c r="C451" s="103" t="s">
        <v>918</v>
      </c>
      <c r="D451" s="61">
        <f ca="1">IFERROR(__xludf.DUMMYFUNCTION("VLOOKUP(SPLIT(C451,"".""),SPLIT(C451,"".""),1)"),60002)</f>
        <v>60002</v>
      </c>
      <c r="E451" s="61" t="s">
        <v>917</v>
      </c>
      <c r="F451" s="63" t="s">
        <v>810</v>
      </c>
      <c r="G451" s="193">
        <v>10.62</v>
      </c>
      <c r="H451" s="193">
        <v>21.23</v>
      </c>
    </row>
    <row r="452" spans="2:8" ht="15">
      <c r="B452" s="61">
        <v>4823114041211</v>
      </c>
      <c r="C452" s="103" t="s">
        <v>919</v>
      </c>
      <c r="D452" s="61">
        <f ca="1">IFERROR(__xludf.DUMMYFUNCTION("VLOOKUP(SPLIT(C452,"".""),SPLIT(C452,"".""),1)"),60001)</f>
        <v>60001</v>
      </c>
      <c r="E452" s="61" t="s">
        <v>917</v>
      </c>
      <c r="F452" s="63" t="s">
        <v>148</v>
      </c>
      <c r="G452" s="193">
        <v>10.62</v>
      </c>
      <c r="H452" s="193">
        <v>21.23</v>
      </c>
    </row>
    <row r="453" spans="2:8" ht="15">
      <c r="B453" s="61">
        <v>4823114041228</v>
      </c>
      <c r="C453" s="103" t="s">
        <v>920</v>
      </c>
      <c r="D453" s="61">
        <f ca="1">IFERROR(__xludf.DUMMYFUNCTION("VLOOKUP(SPLIT(C453,"".""),SPLIT(C453,"".""),1)"),60000)</f>
        <v>60000</v>
      </c>
      <c r="E453" s="61" t="s">
        <v>917</v>
      </c>
      <c r="F453" s="63" t="s">
        <v>468</v>
      </c>
      <c r="G453" s="193">
        <v>10.62</v>
      </c>
      <c r="H453" s="193">
        <v>21.23</v>
      </c>
    </row>
    <row r="454" spans="2:8" ht="15">
      <c r="B454" s="61">
        <v>4823114041235</v>
      </c>
      <c r="C454" s="103" t="s">
        <v>921</v>
      </c>
      <c r="D454" s="61">
        <f ca="1">IFERROR(__xludf.DUMMYFUNCTION("VLOOKUP(SPLIT(C454,"".""),SPLIT(C454,"".""),1)"),59999)</f>
        <v>59999</v>
      </c>
      <c r="E454" s="61" t="s">
        <v>917</v>
      </c>
      <c r="F454" s="63" t="s">
        <v>814</v>
      </c>
      <c r="G454" s="193">
        <v>10.62</v>
      </c>
      <c r="H454" s="193">
        <v>21.23</v>
      </c>
    </row>
    <row r="455" spans="2:8" ht="15">
      <c r="B455" s="61">
        <v>4823114041242</v>
      </c>
      <c r="C455" s="103" t="s">
        <v>922</v>
      </c>
      <c r="D455" s="61">
        <f ca="1">IFERROR(__xludf.DUMMYFUNCTION("VLOOKUP(SPLIT(C455,"".""),SPLIT(C455,"".""),1)"),59998)</f>
        <v>59998</v>
      </c>
      <c r="E455" s="61" t="s">
        <v>917</v>
      </c>
      <c r="F455" s="63" t="s">
        <v>816</v>
      </c>
      <c r="G455" s="193">
        <v>10.62</v>
      </c>
      <c r="H455" s="193">
        <v>21.23</v>
      </c>
    </row>
    <row r="456" spans="2:8" ht="15">
      <c r="B456" s="61">
        <v>4823114041259</v>
      </c>
      <c r="C456" s="103" t="s">
        <v>923</v>
      </c>
      <c r="D456" s="61">
        <f ca="1">IFERROR(__xludf.DUMMYFUNCTION("VLOOKUP(SPLIT(C456,"".""),SPLIT(C456,"".""),1)"),59997)</f>
        <v>59997</v>
      </c>
      <c r="E456" s="61" t="s">
        <v>917</v>
      </c>
      <c r="F456" s="63" t="s">
        <v>818</v>
      </c>
      <c r="G456" s="193">
        <v>10.62</v>
      </c>
      <c r="H456" s="193">
        <v>21.23</v>
      </c>
    </row>
    <row r="457" spans="2:8" ht="15">
      <c r="B457" s="61">
        <v>4823114045172</v>
      </c>
      <c r="C457" s="103" t="s">
        <v>924</v>
      </c>
      <c r="D457" s="61">
        <f ca="1">IFERROR(__xludf.DUMMYFUNCTION("VLOOKUP(SPLIT(C457,"".""),SPLIT(C457,"".""),1)"),72574)</f>
        <v>72574</v>
      </c>
      <c r="E457" s="61" t="s">
        <v>917</v>
      </c>
      <c r="F457" s="63" t="s">
        <v>19</v>
      </c>
      <c r="G457" s="193">
        <v>10.62</v>
      </c>
      <c r="H457" s="193">
        <v>21.23</v>
      </c>
    </row>
    <row r="458" spans="2:8" ht="15">
      <c r="B458" s="32">
        <v>4823114041839</v>
      </c>
      <c r="C458" s="33" t="s">
        <v>925</v>
      </c>
      <c r="D458" s="61">
        <f ca="1">IFERROR(__xludf.DUMMYFUNCTION("VLOOKUP(SPLIT(C458,"".""),SPLIT(C458,"".""),1)"),52810)</f>
        <v>52810</v>
      </c>
      <c r="E458" s="61" t="s">
        <v>926</v>
      </c>
      <c r="F458" s="63" t="s">
        <v>16</v>
      </c>
      <c r="G458" s="193">
        <v>10.24</v>
      </c>
      <c r="H458" s="193">
        <v>20.49</v>
      </c>
    </row>
    <row r="459" spans="2:8" ht="15">
      <c r="B459" s="264">
        <v>4823114041846</v>
      </c>
      <c r="C459" s="103" t="s">
        <v>927</v>
      </c>
      <c r="D459" s="61">
        <f ca="1">IFERROR(__xludf.DUMMYFUNCTION("VLOOKUP(SPLIT(C459,"".""),SPLIT(C459,"".""),1)"),59974)</f>
        <v>59974</v>
      </c>
      <c r="E459" s="61" t="s">
        <v>926</v>
      </c>
      <c r="F459" s="63" t="s">
        <v>810</v>
      </c>
      <c r="G459" s="193">
        <v>10.24</v>
      </c>
      <c r="H459" s="193">
        <v>20.49</v>
      </c>
    </row>
    <row r="460" spans="2:8" ht="15">
      <c r="B460" s="264">
        <v>4823114041853</v>
      </c>
      <c r="C460" s="103" t="s">
        <v>928</v>
      </c>
      <c r="D460" s="61">
        <f ca="1">IFERROR(__xludf.DUMMYFUNCTION("VLOOKUP(SPLIT(C460,"".""),SPLIT(C460,"".""),1)"),59973)</f>
        <v>59973</v>
      </c>
      <c r="E460" s="61" t="s">
        <v>926</v>
      </c>
      <c r="F460" s="63" t="s">
        <v>148</v>
      </c>
      <c r="G460" s="193">
        <v>10.24</v>
      </c>
      <c r="H460" s="193">
        <v>20.49</v>
      </c>
    </row>
    <row r="461" spans="2:8" ht="15">
      <c r="B461" s="264">
        <v>4823114041860</v>
      </c>
      <c r="C461" s="103" t="s">
        <v>929</v>
      </c>
      <c r="D461" s="61">
        <f ca="1">IFERROR(__xludf.DUMMYFUNCTION("VLOOKUP(SPLIT(C461,"".""),SPLIT(C461,"".""),1)"),59972)</f>
        <v>59972</v>
      </c>
      <c r="E461" s="61" t="s">
        <v>926</v>
      </c>
      <c r="F461" s="63" t="s">
        <v>468</v>
      </c>
      <c r="G461" s="193">
        <v>10.24</v>
      </c>
      <c r="H461" s="193">
        <v>20.49</v>
      </c>
    </row>
    <row r="462" spans="2:8" ht="15">
      <c r="B462" s="264">
        <v>4823114041877</v>
      </c>
      <c r="C462" s="103" t="s">
        <v>930</v>
      </c>
      <c r="D462" s="61">
        <f ca="1">IFERROR(__xludf.DUMMYFUNCTION("VLOOKUP(SPLIT(C462,"".""),SPLIT(C462,"".""),1)"),59971)</f>
        <v>59971</v>
      </c>
      <c r="E462" s="61" t="s">
        <v>926</v>
      </c>
      <c r="F462" s="63" t="s">
        <v>814</v>
      </c>
      <c r="G462" s="193">
        <v>10.24</v>
      </c>
      <c r="H462" s="193">
        <v>20.49</v>
      </c>
    </row>
    <row r="463" spans="2:8" ht="15">
      <c r="B463" s="264">
        <v>4823114041884</v>
      </c>
      <c r="C463" s="103" t="s">
        <v>931</v>
      </c>
      <c r="D463" s="61">
        <f ca="1">IFERROR(__xludf.DUMMYFUNCTION("VLOOKUP(SPLIT(C463,"".""),SPLIT(C463,"".""),1)"),59970)</f>
        <v>59970</v>
      </c>
      <c r="E463" s="61" t="s">
        <v>926</v>
      </c>
      <c r="F463" s="63" t="s">
        <v>816</v>
      </c>
      <c r="G463" s="193">
        <v>10.24</v>
      </c>
      <c r="H463" s="193">
        <v>20.49</v>
      </c>
    </row>
    <row r="464" spans="2:8" ht="15">
      <c r="B464" s="264">
        <v>4823114041891</v>
      </c>
      <c r="C464" s="103" t="s">
        <v>932</v>
      </c>
      <c r="D464" s="61">
        <f ca="1">IFERROR(__xludf.DUMMYFUNCTION("VLOOKUP(SPLIT(C464,"".""),SPLIT(C464,"".""),1)"),59969)</f>
        <v>59969</v>
      </c>
      <c r="E464" s="61" t="s">
        <v>926</v>
      </c>
      <c r="F464" s="63" t="s">
        <v>818</v>
      </c>
      <c r="G464" s="193">
        <v>10.24</v>
      </c>
      <c r="H464" s="193">
        <v>20.49</v>
      </c>
    </row>
    <row r="465" spans="2:8" ht="15">
      <c r="B465" s="264">
        <v>4823114045196</v>
      </c>
      <c r="C465" s="103" t="s">
        <v>933</v>
      </c>
      <c r="D465" s="69">
        <f ca="1">IFERROR(__xludf.DUMMYFUNCTION("VLOOKUP(SPLIT(C465,"".""),SPLIT(C465,"".""),1)"),72576)</f>
        <v>72576</v>
      </c>
      <c r="E465" s="69" t="s">
        <v>926</v>
      </c>
      <c r="F465" s="70" t="s">
        <v>19</v>
      </c>
      <c r="G465" s="193">
        <v>10.24</v>
      </c>
      <c r="H465" s="193">
        <v>20.49</v>
      </c>
    </row>
    <row r="466" spans="2:8" ht="15">
      <c r="B466" s="32">
        <v>4823114053788</v>
      </c>
      <c r="C466" s="33" t="s">
        <v>934</v>
      </c>
      <c r="D466" s="87">
        <v>89056</v>
      </c>
      <c r="E466" s="87" t="s">
        <v>935</v>
      </c>
      <c r="F466" s="63" t="s">
        <v>16</v>
      </c>
      <c r="G466" s="36">
        <v>4.71</v>
      </c>
      <c r="H466" s="36">
        <v>9.42</v>
      </c>
    </row>
    <row r="467" spans="2:8" ht="15">
      <c r="B467" s="32">
        <v>4823114053795</v>
      </c>
      <c r="C467" s="33" t="s">
        <v>936</v>
      </c>
      <c r="D467" s="87">
        <v>89057</v>
      </c>
      <c r="E467" s="87" t="s">
        <v>935</v>
      </c>
      <c r="F467" s="63" t="s">
        <v>810</v>
      </c>
      <c r="G467" s="36">
        <v>4.71</v>
      </c>
      <c r="H467" s="36">
        <v>9.42</v>
      </c>
    </row>
    <row r="468" spans="2:8" ht="15">
      <c r="B468" s="32">
        <v>4823114053801</v>
      </c>
      <c r="C468" s="33" t="s">
        <v>937</v>
      </c>
      <c r="D468" s="87">
        <v>89058</v>
      </c>
      <c r="E468" s="87" t="s">
        <v>935</v>
      </c>
      <c r="F468" s="63" t="s">
        <v>148</v>
      </c>
      <c r="G468" s="36">
        <v>4.71</v>
      </c>
      <c r="H468" s="36">
        <v>9.42</v>
      </c>
    </row>
    <row r="469" spans="2:8" ht="15">
      <c r="B469" s="32">
        <v>4823114053818</v>
      </c>
      <c r="C469" s="33" t="s">
        <v>938</v>
      </c>
      <c r="D469" s="87">
        <v>89059</v>
      </c>
      <c r="E469" s="87" t="s">
        <v>935</v>
      </c>
      <c r="F469" s="63" t="s">
        <v>468</v>
      </c>
      <c r="G469" s="36">
        <v>4.71</v>
      </c>
      <c r="H469" s="36">
        <v>9.42</v>
      </c>
    </row>
    <row r="470" spans="2:8" ht="15">
      <c r="B470" s="32">
        <v>4823114053825</v>
      </c>
      <c r="C470" s="33" t="s">
        <v>939</v>
      </c>
      <c r="D470" s="87">
        <v>89060</v>
      </c>
      <c r="E470" s="87" t="s">
        <v>935</v>
      </c>
      <c r="F470" s="63" t="s">
        <v>814</v>
      </c>
      <c r="G470" s="36">
        <v>4.71</v>
      </c>
      <c r="H470" s="36">
        <v>9.42</v>
      </c>
    </row>
    <row r="471" spans="2:8" ht="15">
      <c r="B471" s="32">
        <v>4823114053832</v>
      </c>
      <c r="C471" s="33" t="s">
        <v>940</v>
      </c>
      <c r="D471" s="87">
        <v>89061</v>
      </c>
      <c r="E471" s="87" t="s">
        <v>935</v>
      </c>
      <c r="F471" s="63" t="s">
        <v>816</v>
      </c>
      <c r="G471" s="36">
        <v>4.71</v>
      </c>
      <c r="H471" s="36">
        <v>9.42</v>
      </c>
    </row>
    <row r="472" spans="2:8" ht="15">
      <c r="B472" s="32">
        <v>4823114053849</v>
      </c>
      <c r="C472" s="33" t="s">
        <v>941</v>
      </c>
      <c r="D472" s="87">
        <v>89062</v>
      </c>
      <c r="E472" s="87" t="s">
        <v>935</v>
      </c>
      <c r="F472" s="63" t="s">
        <v>818</v>
      </c>
      <c r="G472" s="36">
        <v>4.71</v>
      </c>
      <c r="H472" s="36">
        <v>9.42</v>
      </c>
    </row>
    <row r="473" spans="2:8" ht="15">
      <c r="B473" s="32">
        <v>4823114053771</v>
      </c>
      <c r="C473" s="33" t="s">
        <v>942</v>
      </c>
      <c r="D473" s="87">
        <v>89055</v>
      </c>
      <c r="E473" s="87" t="s">
        <v>935</v>
      </c>
      <c r="F473" s="63" t="s">
        <v>19</v>
      </c>
      <c r="G473" s="36">
        <v>4.71</v>
      </c>
      <c r="H473" s="36">
        <v>9.42</v>
      </c>
    </row>
    <row r="474" spans="2:8" ht="15">
      <c r="B474" s="32">
        <v>4823114053948</v>
      </c>
      <c r="C474" s="33" t="s">
        <v>943</v>
      </c>
      <c r="D474" s="87">
        <v>89072</v>
      </c>
      <c r="E474" s="87" t="s">
        <v>944</v>
      </c>
      <c r="F474" s="63" t="s">
        <v>16</v>
      </c>
      <c r="G474" s="36">
        <v>4.2300000000000004</v>
      </c>
      <c r="H474" s="36">
        <v>8.4700000000000006</v>
      </c>
    </row>
    <row r="475" spans="2:8" ht="15">
      <c r="B475" s="32">
        <v>4823114053955</v>
      </c>
      <c r="C475" s="33" t="s">
        <v>945</v>
      </c>
      <c r="D475" s="87">
        <v>89073</v>
      </c>
      <c r="E475" s="87" t="s">
        <v>944</v>
      </c>
      <c r="F475" s="63" t="s">
        <v>810</v>
      </c>
      <c r="G475" s="36">
        <v>4.2300000000000004</v>
      </c>
      <c r="H475" s="36">
        <v>8.4700000000000006</v>
      </c>
    </row>
    <row r="476" spans="2:8" ht="15">
      <c r="B476" s="32">
        <v>4823114053962</v>
      </c>
      <c r="C476" s="33" t="s">
        <v>946</v>
      </c>
      <c r="D476" s="87">
        <v>89074</v>
      </c>
      <c r="E476" s="87" t="s">
        <v>944</v>
      </c>
      <c r="F476" s="63" t="s">
        <v>148</v>
      </c>
      <c r="G476" s="36">
        <v>4.2300000000000004</v>
      </c>
      <c r="H476" s="36">
        <v>8.4700000000000006</v>
      </c>
    </row>
    <row r="477" spans="2:8" ht="15">
      <c r="B477" s="32">
        <v>4823114053979</v>
      </c>
      <c r="C477" s="33" t="s">
        <v>947</v>
      </c>
      <c r="D477" s="87">
        <v>89075</v>
      </c>
      <c r="E477" s="87" t="s">
        <v>944</v>
      </c>
      <c r="F477" s="63" t="s">
        <v>468</v>
      </c>
      <c r="G477" s="36">
        <v>4.2300000000000004</v>
      </c>
      <c r="H477" s="36">
        <v>8.4700000000000006</v>
      </c>
    </row>
    <row r="478" spans="2:8" ht="15">
      <c r="B478" s="32">
        <v>4823114053986</v>
      </c>
      <c r="C478" s="33" t="s">
        <v>948</v>
      </c>
      <c r="D478" s="87">
        <v>89076</v>
      </c>
      <c r="E478" s="87" t="s">
        <v>944</v>
      </c>
      <c r="F478" s="63" t="s">
        <v>814</v>
      </c>
      <c r="G478" s="36">
        <v>4.2300000000000004</v>
      </c>
      <c r="H478" s="36">
        <v>8.4700000000000006</v>
      </c>
    </row>
    <row r="479" spans="2:8" ht="15">
      <c r="B479" s="32">
        <v>4823114053993</v>
      </c>
      <c r="C479" s="33" t="s">
        <v>949</v>
      </c>
      <c r="D479" s="87">
        <v>89077</v>
      </c>
      <c r="E479" s="87" t="s">
        <v>944</v>
      </c>
      <c r="F479" s="63" t="s">
        <v>816</v>
      </c>
      <c r="G479" s="36">
        <v>4.2300000000000004</v>
      </c>
      <c r="H479" s="36">
        <v>8.4700000000000006</v>
      </c>
    </row>
    <row r="480" spans="2:8" ht="15">
      <c r="B480" s="32">
        <v>4823114054006</v>
      </c>
      <c r="C480" s="33" t="s">
        <v>950</v>
      </c>
      <c r="D480" s="87">
        <v>89078</v>
      </c>
      <c r="E480" s="87" t="s">
        <v>944</v>
      </c>
      <c r="F480" s="63" t="s">
        <v>818</v>
      </c>
      <c r="G480" s="36">
        <v>4.2300000000000004</v>
      </c>
      <c r="H480" s="36">
        <v>8.4700000000000006</v>
      </c>
    </row>
    <row r="481" spans="2:8" ht="15">
      <c r="B481" s="32">
        <v>4823114053931</v>
      </c>
      <c r="C481" s="33" t="s">
        <v>951</v>
      </c>
      <c r="D481" s="87">
        <v>89071</v>
      </c>
      <c r="E481" s="87" t="s">
        <v>944</v>
      </c>
      <c r="F481" s="63" t="s">
        <v>19</v>
      </c>
      <c r="G481" s="36">
        <v>4.2300000000000004</v>
      </c>
      <c r="H481" s="36">
        <v>8.4700000000000006</v>
      </c>
    </row>
    <row r="482" spans="2:8" ht="15">
      <c r="B482" s="32">
        <v>4823114054105</v>
      </c>
      <c r="C482" s="33" t="s">
        <v>952</v>
      </c>
      <c r="D482" s="87">
        <v>89088</v>
      </c>
      <c r="E482" s="87" t="s">
        <v>953</v>
      </c>
      <c r="F482" s="63" t="s">
        <v>16</v>
      </c>
      <c r="G482" s="36">
        <v>4.2300000000000004</v>
      </c>
      <c r="H482" s="36">
        <v>8.4700000000000006</v>
      </c>
    </row>
    <row r="483" spans="2:8" ht="15">
      <c r="B483" s="32">
        <v>4823114054112</v>
      </c>
      <c r="C483" s="33" t="s">
        <v>954</v>
      </c>
      <c r="D483" s="87">
        <v>89089</v>
      </c>
      <c r="E483" s="87" t="s">
        <v>953</v>
      </c>
      <c r="F483" s="63" t="s">
        <v>810</v>
      </c>
      <c r="G483" s="36">
        <v>4.2300000000000004</v>
      </c>
      <c r="H483" s="36">
        <v>8.4700000000000006</v>
      </c>
    </row>
    <row r="484" spans="2:8" ht="15">
      <c r="B484" s="32">
        <v>4823114054129</v>
      </c>
      <c r="C484" s="33" t="s">
        <v>955</v>
      </c>
      <c r="D484" s="87">
        <v>89090</v>
      </c>
      <c r="E484" s="87" t="s">
        <v>953</v>
      </c>
      <c r="F484" s="63" t="s">
        <v>148</v>
      </c>
      <c r="G484" s="36">
        <v>4.2300000000000004</v>
      </c>
      <c r="H484" s="36">
        <v>8.4700000000000006</v>
      </c>
    </row>
    <row r="485" spans="2:8" ht="15">
      <c r="B485" s="32">
        <v>4823114054136</v>
      </c>
      <c r="C485" s="33" t="s">
        <v>956</v>
      </c>
      <c r="D485" s="87">
        <v>89091</v>
      </c>
      <c r="E485" s="87" t="s">
        <v>953</v>
      </c>
      <c r="F485" s="63" t="s">
        <v>468</v>
      </c>
      <c r="G485" s="36">
        <v>4.2300000000000004</v>
      </c>
      <c r="H485" s="36">
        <v>8.4700000000000006</v>
      </c>
    </row>
    <row r="486" spans="2:8" ht="15">
      <c r="B486" s="32">
        <v>4823114054143</v>
      </c>
      <c r="C486" s="33" t="s">
        <v>957</v>
      </c>
      <c r="D486" s="87">
        <v>89092</v>
      </c>
      <c r="E486" s="87" t="s">
        <v>953</v>
      </c>
      <c r="F486" s="63" t="s">
        <v>814</v>
      </c>
      <c r="G486" s="36">
        <v>4.2300000000000004</v>
      </c>
      <c r="H486" s="36">
        <v>8.4700000000000006</v>
      </c>
    </row>
    <row r="487" spans="2:8" ht="15">
      <c r="B487" s="32">
        <v>4823114054150</v>
      </c>
      <c r="C487" s="33" t="s">
        <v>958</v>
      </c>
      <c r="D487" s="87">
        <v>89093</v>
      </c>
      <c r="E487" s="87" t="s">
        <v>953</v>
      </c>
      <c r="F487" s="63" t="s">
        <v>816</v>
      </c>
      <c r="G487" s="36">
        <v>4.2300000000000004</v>
      </c>
      <c r="H487" s="36">
        <v>8.4700000000000006</v>
      </c>
    </row>
    <row r="488" spans="2:8" ht="15">
      <c r="B488" s="32">
        <v>4823114054167</v>
      </c>
      <c r="C488" s="33" t="s">
        <v>959</v>
      </c>
      <c r="D488" s="87">
        <v>89094</v>
      </c>
      <c r="E488" s="87" t="s">
        <v>953</v>
      </c>
      <c r="F488" s="70" t="s">
        <v>818</v>
      </c>
      <c r="G488" s="36">
        <v>4.2300000000000004</v>
      </c>
      <c r="H488" s="36">
        <v>8.4700000000000006</v>
      </c>
    </row>
    <row r="489" spans="2:8" ht="15">
      <c r="B489" s="32">
        <v>4823114054099</v>
      </c>
      <c r="C489" s="33" t="s">
        <v>960</v>
      </c>
      <c r="D489" s="87">
        <v>89087</v>
      </c>
      <c r="E489" s="87" t="s">
        <v>953</v>
      </c>
      <c r="F489" s="88" t="s">
        <v>19</v>
      </c>
      <c r="G489" s="36">
        <v>4.2300000000000004</v>
      </c>
      <c r="H489" s="36">
        <v>8.4700000000000006</v>
      </c>
    </row>
    <row r="490" spans="2:8" ht="15">
      <c r="B490" s="32">
        <v>4823114071324</v>
      </c>
      <c r="C490" s="33" t="s">
        <v>961</v>
      </c>
      <c r="D490" s="83">
        <v>126188</v>
      </c>
      <c r="E490" s="34" t="s">
        <v>962</v>
      </c>
      <c r="F490" s="35" t="s">
        <v>16</v>
      </c>
      <c r="G490" s="36">
        <v>4.38</v>
      </c>
      <c r="H490" s="36">
        <v>8.76</v>
      </c>
    </row>
    <row r="491" spans="2:8" ht="15">
      <c r="B491" s="32">
        <v>4823114071317</v>
      </c>
      <c r="C491" s="33" t="s">
        <v>963</v>
      </c>
      <c r="D491" s="83">
        <v>126187</v>
      </c>
      <c r="E491" s="34" t="s">
        <v>962</v>
      </c>
      <c r="F491" s="35" t="s">
        <v>19</v>
      </c>
      <c r="G491" s="36">
        <v>4.38</v>
      </c>
      <c r="H491" s="36">
        <v>8.76</v>
      </c>
    </row>
    <row r="492" spans="2:8" ht="15">
      <c r="B492" s="32">
        <v>4823114071331</v>
      </c>
      <c r="C492" s="33" t="s">
        <v>964</v>
      </c>
      <c r="D492" s="83">
        <v>126189</v>
      </c>
      <c r="E492" s="34" t="s">
        <v>962</v>
      </c>
      <c r="F492" s="35" t="s">
        <v>814</v>
      </c>
      <c r="G492" s="36">
        <v>4.38</v>
      </c>
      <c r="H492" s="36">
        <v>8.76</v>
      </c>
    </row>
    <row r="493" spans="2:8" ht="15">
      <c r="B493" s="32">
        <v>4823114071348</v>
      </c>
      <c r="C493" s="33" t="s">
        <v>965</v>
      </c>
      <c r="D493" s="83">
        <v>126190</v>
      </c>
      <c r="E493" s="34" t="s">
        <v>962</v>
      </c>
      <c r="F493" s="35" t="s">
        <v>468</v>
      </c>
      <c r="G493" s="36">
        <v>4.38</v>
      </c>
      <c r="H493" s="36">
        <v>8.76</v>
      </c>
    </row>
    <row r="494" spans="2:8" ht="15">
      <c r="B494" s="32">
        <v>4823114071355</v>
      </c>
      <c r="C494" s="33" t="s">
        <v>966</v>
      </c>
      <c r="D494" s="83">
        <v>126191</v>
      </c>
      <c r="E494" s="34" t="s">
        <v>962</v>
      </c>
      <c r="F494" s="35" t="s">
        <v>148</v>
      </c>
      <c r="G494" s="36">
        <v>4.38</v>
      </c>
      <c r="H494" s="36">
        <v>8.76</v>
      </c>
    </row>
    <row r="495" spans="2:8" ht="15">
      <c r="B495" s="32">
        <v>4823114071362</v>
      </c>
      <c r="C495" s="33" t="s">
        <v>967</v>
      </c>
      <c r="D495" s="83">
        <v>126192</v>
      </c>
      <c r="E495" s="34" t="s">
        <v>962</v>
      </c>
      <c r="F495" s="35" t="s">
        <v>810</v>
      </c>
      <c r="G495" s="36">
        <v>4.38</v>
      </c>
      <c r="H495" s="36">
        <v>8.76</v>
      </c>
    </row>
    <row r="496" spans="2:8" ht="15">
      <c r="B496" s="32">
        <v>4823114071379</v>
      </c>
      <c r="C496" s="33" t="s">
        <v>968</v>
      </c>
      <c r="D496" s="83">
        <v>126193</v>
      </c>
      <c r="E496" s="34" t="s">
        <v>962</v>
      </c>
      <c r="F496" s="35" t="s">
        <v>818</v>
      </c>
      <c r="G496" s="36">
        <v>4.38</v>
      </c>
      <c r="H496" s="36">
        <v>8.76</v>
      </c>
    </row>
    <row r="497" spans="2:8" ht="15">
      <c r="B497" s="32">
        <v>4823114071386</v>
      </c>
      <c r="C497" s="33" t="s">
        <v>969</v>
      </c>
      <c r="D497" s="83">
        <v>126194</v>
      </c>
      <c r="E497" s="34" t="s">
        <v>962</v>
      </c>
      <c r="F497" s="35" t="s">
        <v>816</v>
      </c>
      <c r="G497" s="36">
        <v>4.38</v>
      </c>
      <c r="H497" s="36">
        <v>8.76</v>
      </c>
    </row>
    <row r="498" spans="2:8" ht="15">
      <c r="B498" s="32">
        <v>4823114071409</v>
      </c>
      <c r="C498" s="33" t="s">
        <v>970</v>
      </c>
      <c r="D498" s="83">
        <v>126196</v>
      </c>
      <c r="E498" s="34" t="s">
        <v>971</v>
      </c>
      <c r="F498" s="35" t="s">
        <v>16</v>
      </c>
      <c r="G498" s="36">
        <v>3.28</v>
      </c>
      <c r="H498" s="36">
        <v>6.56</v>
      </c>
    </row>
    <row r="499" spans="2:8" ht="15">
      <c r="B499" s="32">
        <v>4823114071393</v>
      </c>
      <c r="C499" s="33" t="s">
        <v>972</v>
      </c>
      <c r="D499" s="83">
        <v>126195</v>
      </c>
      <c r="E499" s="34" t="s">
        <v>971</v>
      </c>
      <c r="F499" s="35" t="s">
        <v>19</v>
      </c>
      <c r="G499" s="36">
        <v>3.28</v>
      </c>
      <c r="H499" s="36">
        <v>6.56</v>
      </c>
    </row>
    <row r="500" spans="2:8" ht="15">
      <c r="B500" s="32">
        <v>4823114071416</v>
      </c>
      <c r="C500" s="33" t="s">
        <v>973</v>
      </c>
      <c r="D500" s="83">
        <v>126197</v>
      </c>
      <c r="E500" s="34" t="s">
        <v>971</v>
      </c>
      <c r="F500" s="35" t="s">
        <v>814</v>
      </c>
      <c r="G500" s="36">
        <v>3.28</v>
      </c>
      <c r="H500" s="36">
        <v>6.56</v>
      </c>
    </row>
    <row r="501" spans="2:8" ht="15">
      <c r="B501" s="32">
        <v>4823114071423</v>
      </c>
      <c r="C501" s="33" t="s">
        <v>974</v>
      </c>
      <c r="D501" s="83">
        <v>126198</v>
      </c>
      <c r="E501" s="34" t="s">
        <v>971</v>
      </c>
      <c r="F501" s="35" t="s">
        <v>468</v>
      </c>
      <c r="G501" s="36">
        <v>3.28</v>
      </c>
      <c r="H501" s="36">
        <v>6.56</v>
      </c>
    </row>
    <row r="502" spans="2:8" ht="15">
      <c r="B502" s="32">
        <v>4823114071430</v>
      </c>
      <c r="C502" s="33" t="s">
        <v>975</v>
      </c>
      <c r="D502" s="83">
        <v>126199</v>
      </c>
      <c r="E502" s="34" t="s">
        <v>971</v>
      </c>
      <c r="F502" s="35" t="s">
        <v>148</v>
      </c>
      <c r="G502" s="36">
        <v>3.28</v>
      </c>
      <c r="H502" s="36">
        <v>6.56</v>
      </c>
    </row>
    <row r="503" spans="2:8" ht="15">
      <c r="B503" s="32">
        <v>4823114071447</v>
      </c>
      <c r="C503" s="33" t="s">
        <v>976</v>
      </c>
      <c r="D503" s="83">
        <v>126200</v>
      </c>
      <c r="E503" s="34" t="s">
        <v>971</v>
      </c>
      <c r="F503" s="35" t="s">
        <v>810</v>
      </c>
      <c r="G503" s="36">
        <v>3.28</v>
      </c>
      <c r="H503" s="36">
        <v>6.56</v>
      </c>
    </row>
    <row r="504" spans="2:8" ht="15">
      <c r="B504" s="32">
        <v>4823114071454</v>
      </c>
      <c r="C504" s="33" t="s">
        <v>977</v>
      </c>
      <c r="D504" s="83">
        <v>126201</v>
      </c>
      <c r="E504" s="34" t="s">
        <v>971</v>
      </c>
      <c r="F504" s="35" t="s">
        <v>818</v>
      </c>
      <c r="G504" s="36">
        <v>3.28</v>
      </c>
      <c r="H504" s="36">
        <v>6.56</v>
      </c>
    </row>
    <row r="505" spans="2:8" ht="15">
      <c r="B505" s="32">
        <v>4823114071461</v>
      </c>
      <c r="C505" s="33" t="s">
        <v>978</v>
      </c>
      <c r="D505" s="83">
        <v>126202</v>
      </c>
      <c r="E505" s="34" t="s">
        <v>971</v>
      </c>
      <c r="F505" s="35" t="s">
        <v>816</v>
      </c>
      <c r="G505" s="36">
        <v>3.28</v>
      </c>
      <c r="H505" s="36">
        <v>6.56</v>
      </c>
    </row>
    <row r="506" spans="2:8" ht="15">
      <c r="B506" s="32">
        <v>4823114071485</v>
      </c>
      <c r="C506" s="33" t="s">
        <v>979</v>
      </c>
      <c r="D506" s="83">
        <v>126204</v>
      </c>
      <c r="E506" s="34" t="s">
        <v>980</v>
      </c>
      <c r="F506" s="35" t="s">
        <v>16</v>
      </c>
      <c r="G506" s="36">
        <v>3.28</v>
      </c>
      <c r="H506" s="36">
        <v>6.56</v>
      </c>
    </row>
    <row r="507" spans="2:8" ht="15">
      <c r="B507" s="32">
        <v>4823114071478</v>
      </c>
      <c r="C507" s="33" t="s">
        <v>981</v>
      </c>
      <c r="D507" s="83">
        <v>126203</v>
      </c>
      <c r="E507" s="34" t="s">
        <v>980</v>
      </c>
      <c r="F507" s="35" t="s">
        <v>19</v>
      </c>
      <c r="G507" s="36">
        <v>3.28</v>
      </c>
      <c r="H507" s="36">
        <v>6.56</v>
      </c>
    </row>
    <row r="508" spans="2:8" ht="15">
      <c r="B508" s="32">
        <v>4823114071492</v>
      </c>
      <c r="C508" s="33" t="s">
        <v>982</v>
      </c>
      <c r="D508" s="83">
        <v>126205</v>
      </c>
      <c r="E508" s="34" t="s">
        <v>980</v>
      </c>
      <c r="F508" s="35" t="s">
        <v>814</v>
      </c>
      <c r="G508" s="36">
        <v>3.28</v>
      </c>
      <c r="H508" s="36">
        <v>6.56</v>
      </c>
    </row>
    <row r="509" spans="2:8" ht="15">
      <c r="B509" s="32">
        <v>4823114071508</v>
      </c>
      <c r="C509" s="33" t="s">
        <v>983</v>
      </c>
      <c r="D509" s="83">
        <v>126206</v>
      </c>
      <c r="E509" s="34" t="s">
        <v>980</v>
      </c>
      <c r="F509" s="35" t="s">
        <v>468</v>
      </c>
      <c r="G509" s="36">
        <v>3.28</v>
      </c>
      <c r="H509" s="36">
        <v>6.56</v>
      </c>
    </row>
    <row r="510" spans="2:8" ht="15">
      <c r="B510" s="32">
        <v>4823114071515</v>
      </c>
      <c r="C510" s="33" t="s">
        <v>984</v>
      </c>
      <c r="D510" s="83">
        <v>126207</v>
      </c>
      <c r="E510" s="34" t="s">
        <v>980</v>
      </c>
      <c r="F510" s="35" t="s">
        <v>148</v>
      </c>
      <c r="G510" s="36">
        <v>3.28</v>
      </c>
      <c r="H510" s="36">
        <v>6.56</v>
      </c>
    </row>
    <row r="511" spans="2:8" ht="15">
      <c r="B511" s="32">
        <v>4823114071522</v>
      </c>
      <c r="C511" s="33" t="s">
        <v>985</v>
      </c>
      <c r="D511" s="83">
        <v>126208</v>
      </c>
      <c r="E511" s="34" t="s">
        <v>980</v>
      </c>
      <c r="F511" s="35" t="s">
        <v>810</v>
      </c>
      <c r="G511" s="36">
        <v>3.28</v>
      </c>
      <c r="H511" s="36">
        <v>6.56</v>
      </c>
    </row>
    <row r="512" spans="2:8" ht="15">
      <c r="B512" s="32">
        <v>4823114071539</v>
      </c>
      <c r="C512" s="33" t="s">
        <v>986</v>
      </c>
      <c r="D512" s="83">
        <v>126209</v>
      </c>
      <c r="E512" s="34" t="s">
        <v>980</v>
      </c>
      <c r="F512" s="35" t="s">
        <v>818</v>
      </c>
      <c r="G512" s="36">
        <v>3.28</v>
      </c>
      <c r="H512" s="36">
        <v>6.56</v>
      </c>
    </row>
    <row r="513" spans="2:8" ht="15">
      <c r="B513" s="32">
        <v>4823114071546</v>
      </c>
      <c r="C513" s="33" t="s">
        <v>987</v>
      </c>
      <c r="D513" s="83">
        <v>126210</v>
      </c>
      <c r="E513" s="34" t="s">
        <v>980</v>
      </c>
      <c r="F513" s="35" t="s">
        <v>816</v>
      </c>
      <c r="G513" s="36">
        <v>3.28</v>
      </c>
      <c r="H513" s="36">
        <v>6.56</v>
      </c>
    </row>
    <row r="514" spans="2:8" ht="15">
      <c r="B514" s="32">
        <v>4823114071560</v>
      </c>
      <c r="C514" s="33" t="s">
        <v>988</v>
      </c>
      <c r="D514" s="83">
        <v>126212</v>
      </c>
      <c r="E514" s="34" t="s">
        <v>989</v>
      </c>
      <c r="F514" s="35" t="s">
        <v>16</v>
      </c>
      <c r="G514" s="36">
        <v>3.32</v>
      </c>
      <c r="H514" s="36">
        <v>6.64</v>
      </c>
    </row>
    <row r="515" spans="2:8" ht="15">
      <c r="B515" s="32">
        <v>4823114071553</v>
      </c>
      <c r="C515" s="33" t="s">
        <v>990</v>
      </c>
      <c r="D515" s="83">
        <v>126211</v>
      </c>
      <c r="E515" s="34" t="s">
        <v>989</v>
      </c>
      <c r="F515" s="35" t="s">
        <v>19</v>
      </c>
      <c r="G515" s="36">
        <v>3.32</v>
      </c>
      <c r="H515" s="36">
        <v>6.64</v>
      </c>
    </row>
    <row r="516" spans="2:8" ht="15">
      <c r="B516" s="32">
        <v>4823114071577</v>
      </c>
      <c r="C516" s="33" t="s">
        <v>991</v>
      </c>
      <c r="D516" s="83">
        <v>126213</v>
      </c>
      <c r="E516" s="34" t="s">
        <v>989</v>
      </c>
      <c r="F516" s="35" t="s">
        <v>814</v>
      </c>
      <c r="G516" s="36">
        <v>3.32</v>
      </c>
      <c r="H516" s="36">
        <v>6.64</v>
      </c>
    </row>
    <row r="517" spans="2:8" ht="15">
      <c r="B517" s="32">
        <v>4823114071584</v>
      </c>
      <c r="C517" s="33" t="s">
        <v>992</v>
      </c>
      <c r="D517" s="83">
        <v>126214</v>
      </c>
      <c r="E517" s="34" t="s">
        <v>989</v>
      </c>
      <c r="F517" s="35" t="s">
        <v>468</v>
      </c>
      <c r="G517" s="36">
        <v>3.32</v>
      </c>
      <c r="H517" s="36">
        <v>6.64</v>
      </c>
    </row>
    <row r="518" spans="2:8" ht="15">
      <c r="B518" s="32">
        <v>4823114071591</v>
      </c>
      <c r="C518" s="33" t="s">
        <v>993</v>
      </c>
      <c r="D518" s="83">
        <v>126215</v>
      </c>
      <c r="E518" s="34" t="s">
        <v>989</v>
      </c>
      <c r="F518" s="35" t="s">
        <v>148</v>
      </c>
      <c r="G518" s="36">
        <v>3.32</v>
      </c>
      <c r="H518" s="36">
        <v>6.64</v>
      </c>
    </row>
    <row r="519" spans="2:8" ht="15">
      <c r="B519" s="32">
        <v>4823114071607</v>
      </c>
      <c r="C519" s="33" t="s">
        <v>994</v>
      </c>
      <c r="D519" s="83">
        <v>126216</v>
      </c>
      <c r="E519" s="34" t="s">
        <v>989</v>
      </c>
      <c r="F519" s="35" t="s">
        <v>810</v>
      </c>
      <c r="G519" s="36">
        <v>3.32</v>
      </c>
      <c r="H519" s="36">
        <v>6.64</v>
      </c>
    </row>
    <row r="520" spans="2:8" ht="15">
      <c r="B520" s="32">
        <v>4823114071614</v>
      </c>
      <c r="C520" s="33" t="s">
        <v>995</v>
      </c>
      <c r="D520" s="83">
        <v>126217</v>
      </c>
      <c r="E520" s="34" t="s">
        <v>989</v>
      </c>
      <c r="F520" s="35" t="s">
        <v>818</v>
      </c>
      <c r="G520" s="36">
        <v>3.32</v>
      </c>
      <c r="H520" s="36">
        <v>6.64</v>
      </c>
    </row>
    <row r="521" spans="2:8" ht="15">
      <c r="B521" s="32">
        <v>4823114071621</v>
      </c>
      <c r="C521" s="33" t="s">
        <v>996</v>
      </c>
      <c r="D521" s="83">
        <v>126218</v>
      </c>
      <c r="E521" s="34" t="s">
        <v>989</v>
      </c>
      <c r="F521" s="35" t="s">
        <v>816</v>
      </c>
      <c r="G521" s="36">
        <v>3.32</v>
      </c>
      <c r="H521" s="36">
        <v>6.64</v>
      </c>
    </row>
    <row r="522" spans="2:8" ht="15">
      <c r="B522" s="32">
        <v>4823114071645</v>
      </c>
      <c r="C522" s="33" t="s">
        <v>997</v>
      </c>
      <c r="D522" s="83">
        <v>126220</v>
      </c>
      <c r="E522" s="34" t="s">
        <v>998</v>
      </c>
      <c r="F522" s="35" t="s">
        <v>16</v>
      </c>
      <c r="G522" s="36">
        <v>3.32</v>
      </c>
      <c r="H522" s="36">
        <v>6.64</v>
      </c>
    </row>
    <row r="523" spans="2:8" ht="15">
      <c r="B523" s="32">
        <v>4823114071638</v>
      </c>
      <c r="C523" s="33" t="s">
        <v>999</v>
      </c>
      <c r="D523" s="83">
        <v>126219</v>
      </c>
      <c r="E523" s="34" t="s">
        <v>998</v>
      </c>
      <c r="F523" s="35" t="s">
        <v>19</v>
      </c>
      <c r="G523" s="36">
        <v>3.32</v>
      </c>
      <c r="H523" s="36">
        <v>6.64</v>
      </c>
    </row>
    <row r="524" spans="2:8" ht="15">
      <c r="B524" s="32">
        <v>4823114071652</v>
      </c>
      <c r="C524" s="33" t="s">
        <v>1000</v>
      </c>
      <c r="D524" s="83">
        <v>126221</v>
      </c>
      <c r="E524" s="34" t="s">
        <v>998</v>
      </c>
      <c r="F524" s="35" t="s">
        <v>814</v>
      </c>
      <c r="G524" s="36">
        <v>3.32</v>
      </c>
      <c r="H524" s="36">
        <v>6.64</v>
      </c>
    </row>
    <row r="525" spans="2:8" ht="15">
      <c r="B525" s="32">
        <v>4823114071669</v>
      </c>
      <c r="C525" s="33" t="s">
        <v>1001</v>
      </c>
      <c r="D525" s="83">
        <v>126222</v>
      </c>
      <c r="E525" s="34" t="s">
        <v>998</v>
      </c>
      <c r="F525" s="35" t="s">
        <v>468</v>
      </c>
      <c r="G525" s="36">
        <v>3.32</v>
      </c>
      <c r="H525" s="36">
        <v>6.64</v>
      </c>
    </row>
    <row r="526" spans="2:8" ht="15">
      <c r="B526" s="32">
        <v>4823114071676</v>
      </c>
      <c r="C526" s="33" t="s">
        <v>1002</v>
      </c>
      <c r="D526" s="83">
        <v>126223</v>
      </c>
      <c r="E526" s="34" t="s">
        <v>998</v>
      </c>
      <c r="F526" s="35" t="s">
        <v>148</v>
      </c>
      <c r="G526" s="36">
        <v>3.32</v>
      </c>
      <c r="H526" s="36">
        <v>6.64</v>
      </c>
    </row>
    <row r="527" spans="2:8" ht="15">
      <c r="B527" s="32">
        <v>4823114071683</v>
      </c>
      <c r="C527" s="33" t="s">
        <v>1003</v>
      </c>
      <c r="D527" s="83">
        <v>126224</v>
      </c>
      <c r="E527" s="34" t="s">
        <v>998</v>
      </c>
      <c r="F527" s="35" t="s">
        <v>810</v>
      </c>
      <c r="G527" s="36">
        <v>3.32</v>
      </c>
      <c r="H527" s="36">
        <v>6.64</v>
      </c>
    </row>
    <row r="528" spans="2:8" ht="15">
      <c r="B528" s="32">
        <v>4823114071690</v>
      </c>
      <c r="C528" s="33" t="s">
        <v>1004</v>
      </c>
      <c r="D528" s="83">
        <v>126225</v>
      </c>
      <c r="E528" s="34" t="s">
        <v>998</v>
      </c>
      <c r="F528" s="35" t="s">
        <v>818</v>
      </c>
      <c r="G528" s="36">
        <v>3.32</v>
      </c>
      <c r="H528" s="36">
        <v>6.64</v>
      </c>
    </row>
    <row r="529" spans="2:8" ht="15">
      <c r="B529" s="32">
        <v>4823114071706</v>
      </c>
      <c r="C529" s="33" t="s">
        <v>1005</v>
      </c>
      <c r="D529" s="83">
        <v>126226</v>
      </c>
      <c r="E529" s="34" t="s">
        <v>998</v>
      </c>
      <c r="F529" s="35" t="s">
        <v>816</v>
      </c>
      <c r="G529" s="36">
        <v>3.32</v>
      </c>
      <c r="H529" s="36">
        <v>6.64</v>
      </c>
    </row>
    <row r="530" spans="2:8" ht="15">
      <c r="B530" s="264">
        <v>4823114050091</v>
      </c>
      <c r="C530" s="85" t="s">
        <v>1007</v>
      </c>
      <c r="D530" s="85">
        <v>83427</v>
      </c>
      <c r="E530" s="87" t="s">
        <v>1008</v>
      </c>
      <c r="F530" s="268" t="s">
        <v>25</v>
      </c>
      <c r="G530" s="201">
        <v>46.72</v>
      </c>
      <c r="H530" s="291">
        <v>93.44</v>
      </c>
    </row>
    <row r="531" spans="2:8" ht="15">
      <c r="B531" s="85">
        <v>4823114050107</v>
      </c>
      <c r="C531" s="85" t="s">
        <v>1009</v>
      </c>
      <c r="D531" s="85">
        <v>83428</v>
      </c>
      <c r="E531" s="87" t="s">
        <v>1010</v>
      </c>
      <c r="F531" s="268" t="s">
        <v>25</v>
      </c>
      <c r="G531" s="203">
        <v>53.76</v>
      </c>
      <c r="H531" s="205">
        <v>107.53</v>
      </c>
    </row>
    <row r="532" spans="2:8" ht="15">
      <c r="B532" s="85">
        <v>4823114050114</v>
      </c>
      <c r="C532" s="85" t="s">
        <v>1011</v>
      </c>
      <c r="D532" s="85">
        <v>83429</v>
      </c>
      <c r="E532" s="87" t="s">
        <v>1012</v>
      </c>
      <c r="F532" s="268" t="s">
        <v>25</v>
      </c>
      <c r="G532" s="203">
        <v>49.96</v>
      </c>
      <c r="H532" s="205">
        <v>99.91</v>
      </c>
    </row>
    <row r="533" spans="2:8" ht="15">
      <c r="B533" s="85">
        <v>4823114053665</v>
      </c>
      <c r="C533" s="269" t="s">
        <v>1013</v>
      </c>
      <c r="D533" s="85">
        <v>87945</v>
      </c>
      <c r="E533" s="87" t="s">
        <v>1014</v>
      </c>
      <c r="F533" s="268" t="s">
        <v>25</v>
      </c>
      <c r="G533" s="71">
        <v>54.32</v>
      </c>
      <c r="H533" s="71">
        <v>108.63</v>
      </c>
    </row>
    <row r="534" spans="2:8" ht="15">
      <c r="B534" s="85">
        <v>4823114053641</v>
      </c>
      <c r="C534" s="270" t="s">
        <v>1015</v>
      </c>
      <c r="D534" s="85">
        <v>87796</v>
      </c>
      <c r="E534" s="87" t="s">
        <v>1016</v>
      </c>
      <c r="F534" s="271" t="s">
        <v>25</v>
      </c>
      <c r="G534" s="27">
        <v>55.13</v>
      </c>
      <c r="H534" s="28">
        <v>110.26</v>
      </c>
    </row>
    <row r="535" spans="2:8" ht="15">
      <c r="B535" s="85">
        <v>4823114060960</v>
      </c>
      <c r="C535" s="269" t="s">
        <v>1017</v>
      </c>
      <c r="D535" s="85">
        <v>91249</v>
      </c>
      <c r="E535" s="87" t="s">
        <v>1018</v>
      </c>
      <c r="F535" s="88"/>
      <c r="G535" s="249">
        <v>41.01</v>
      </c>
      <c r="H535" s="249">
        <v>82.02</v>
      </c>
    </row>
    <row r="536" spans="2:8" ht="15">
      <c r="B536" s="85">
        <v>4823114050442</v>
      </c>
      <c r="C536" s="85" t="s">
        <v>1019</v>
      </c>
      <c r="D536" s="85">
        <v>83430</v>
      </c>
      <c r="E536" s="86" t="s">
        <v>1020</v>
      </c>
      <c r="F536" s="268" t="s">
        <v>25</v>
      </c>
      <c r="G536" s="201">
        <v>4.8099999999999996</v>
      </c>
      <c r="H536" s="291">
        <v>9.61</v>
      </c>
    </row>
    <row r="537" spans="2:8" ht="15">
      <c r="B537" s="85">
        <v>4823114050459</v>
      </c>
      <c r="C537" s="85" t="s">
        <v>1021</v>
      </c>
      <c r="D537" s="85">
        <v>83431</v>
      </c>
      <c r="E537" s="86" t="s">
        <v>1022</v>
      </c>
      <c r="F537" s="268" t="s">
        <v>25</v>
      </c>
      <c r="G537" s="203">
        <v>5.66</v>
      </c>
      <c r="H537" s="205">
        <v>11.32</v>
      </c>
    </row>
    <row r="538" spans="2:8" ht="15">
      <c r="B538" s="85">
        <v>4823114050466</v>
      </c>
      <c r="C538" s="85" t="s">
        <v>1023</v>
      </c>
      <c r="D538" s="85">
        <v>83432</v>
      </c>
      <c r="E538" s="86" t="s">
        <v>1024</v>
      </c>
      <c r="F538" s="268" t="s">
        <v>25</v>
      </c>
      <c r="G538" s="203">
        <v>6.95</v>
      </c>
      <c r="H538" s="205">
        <v>13.89</v>
      </c>
    </row>
    <row r="539" spans="2:8" ht="15">
      <c r="B539" s="85">
        <v>4823114050473</v>
      </c>
      <c r="C539" s="85" t="s">
        <v>1025</v>
      </c>
      <c r="D539" s="85">
        <v>83433</v>
      </c>
      <c r="E539" s="86" t="s">
        <v>1026</v>
      </c>
      <c r="F539" s="268" t="s">
        <v>25</v>
      </c>
      <c r="G539" s="203">
        <v>7.52</v>
      </c>
      <c r="H539" s="205">
        <v>15.03</v>
      </c>
    </row>
    <row r="540" spans="2:8" ht="15">
      <c r="B540" s="85">
        <v>4823114050374</v>
      </c>
      <c r="C540" s="85" t="s">
        <v>1027</v>
      </c>
      <c r="D540" s="85">
        <v>83459</v>
      </c>
      <c r="E540" s="86" t="s">
        <v>1028</v>
      </c>
      <c r="F540" s="63" t="s">
        <v>16</v>
      </c>
      <c r="G540" s="201">
        <v>8.61</v>
      </c>
      <c r="H540" s="291">
        <v>17.22</v>
      </c>
    </row>
    <row r="541" spans="2:8" ht="15">
      <c r="B541" s="85">
        <v>4823114050381</v>
      </c>
      <c r="C541" s="85" t="s">
        <v>1029</v>
      </c>
      <c r="D541" s="85">
        <v>83460</v>
      </c>
      <c r="E541" s="86" t="s">
        <v>1028</v>
      </c>
      <c r="F541" s="63" t="s">
        <v>810</v>
      </c>
      <c r="G541" s="203">
        <v>8.61</v>
      </c>
      <c r="H541" s="205">
        <v>17.22</v>
      </c>
    </row>
    <row r="542" spans="2:8" ht="15">
      <c r="B542" s="85">
        <v>4823114050398</v>
      </c>
      <c r="C542" s="85" t="s">
        <v>1030</v>
      </c>
      <c r="D542" s="85">
        <v>83461</v>
      </c>
      <c r="E542" s="86" t="s">
        <v>1028</v>
      </c>
      <c r="F542" s="63" t="s">
        <v>148</v>
      </c>
      <c r="G542" s="203">
        <v>8.61</v>
      </c>
      <c r="H542" s="205">
        <v>17.22</v>
      </c>
    </row>
    <row r="543" spans="2:8" ht="15">
      <c r="B543" s="85">
        <v>4823114050404</v>
      </c>
      <c r="C543" s="85" t="s">
        <v>1031</v>
      </c>
      <c r="D543" s="85">
        <v>83462</v>
      </c>
      <c r="E543" s="86" t="s">
        <v>1028</v>
      </c>
      <c r="F543" s="63" t="s">
        <v>468</v>
      </c>
      <c r="G543" s="203">
        <v>8.61</v>
      </c>
      <c r="H543" s="205">
        <v>17.22</v>
      </c>
    </row>
    <row r="544" spans="2:8" ht="15">
      <c r="B544" s="85">
        <v>4823114050411</v>
      </c>
      <c r="C544" s="85" t="s">
        <v>1032</v>
      </c>
      <c r="D544" s="85">
        <v>83463</v>
      </c>
      <c r="E544" s="86" t="s">
        <v>1028</v>
      </c>
      <c r="F544" s="63" t="s">
        <v>814</v>
      </c>
      <c r="G544" s="203">
        <v>8.61</v>
      </c>
      <c r="H544" s="205">
        <v>17.22</v>
      </c>
    </row>
    <row r="545" spans="2:8" ht="15">
      <c r="B545" s="85">
        <v>4823114050428</v>
      </c>
      <c r="C545" s="85" t="s">
        <v>1033</v>
      </c>
      <c r="D545" s="85">
        <v>83464</v>
      </c>
      <c r="E545" s="86" t="s">
        <v>1028</v>
      </c>
      <c r="F545" s="63" t="s">
        <v>816</v>
      </c>
      <c r="G545" s="203">
        <v>8.61</v>
      </c>
      <c r="H545" s="205">
        <v>17.22</v>
      </c>
    </row>
    <row r="546" spans="2:8" ht="15">
      <c r="B546" s="85">
        <v>4823114050435</v>
      </c>
      <c r="C546" s="85" t="s">
        <v>1034</v>
      </c>
      <c r="D546" s="85">
        <v>83465</v>
      </c>
      <c r="E546" s="86" t="s">
        <v>1028</v>
      </c>
      <c r="F546" s="63" t="s">
        <v>818</v>
      </c>
      <c r="G546" s="203">
        <v>8.61</v>
      </c>
      <c r="H546" s="205">
        <v>17.22</v>
      </c>
    </row>
    <row r="547" spans="2:8" ht="15">
      <c r="B547" s="85">
        <v>4823114050367</v>
      </c>
      <c r="C547" s="85" t="s">
        <v>1035</v>
      </c>
      <c r="D547" s="85">
        <v>83458</v>
      </c>
      <c r="E547" s="86" t="s">
        <v>1028</v>
      </c>
      <c r="F547" s="63" t="s">
        <v>19</v>
      </c>
      <c r="G547" s="203">
        <v>8.61</v>
      </c>
      <c r="H547" s="205">
        <v>17.22</v>
      </c>
    </row>
    <row r="548" spans="2:8" ht="15">
      <c r="B548" s="85">
        <v>4823114050299</v>
      </c>
      <c r="C548" s="85" t="s">
        <v>1036</v>
      </c>
      <c r="D548" s="85">
        <v>83451</v>
      </c>
      <c r="E548" s="86" t="s">
        <v>1037</v>
      </c>
      <c r="F548" s="63" t="s">
        <v>16</v>
      </c>
      <c r="G548" s="203">
        <v>7.42</v>
      </c>
      <c r="H548" s="205">
        <v>14.84</v>
      </c>
    </row>
    <row r="549" spans="2:8" ht="15">
      <c r="B549" s="85">
        <v>4823114050305</v>
      </c>
      <c r="C549" s="85" t="s">
        <v>1038</v>
      </c>
      <c r="D549" s="85">
        <v>83452</v>
      </c>
      <c r="E549" s="86" t="s">
        <v>1037</v>
      </c>
      <c r="F549" s="63" t="s">
        <v>810</v>
      </c>
      <c r="G549" s="203">
        <v>7.42</v>
      </c>
      <c r="H549" s="205">
        <v>14.84</v>
      </c>
    </row>
    <row r="550" spans="2:8" ht="15">
      <c r="B550" s="85">
        <v>4823114050312</v>
      </c>
      <c r="C550" s="85" t="s">
        <v>1039</v>
      </c>
      <c r="D550" s="85">
        <v>83453</v>
      </c>
      <c r="E550" s="86" t="s">
        <v>1037</v>
      </c>
      <c r="F550" s="63" t="s">
        <v>148</v>
      </c>
      <c r="G550" s="203">
        <v>7.42</v>
      </c>
      <c r="H550" s="205">
        <v>14.84</v>
      </c>
    </row>
    <row r="551" spans="2:8" ht="15">
      <c r="B551" s="85">
        <v>4823114050329</v>
      </c>
      <c r="C551" s="85" t="s">
        <v>1040</v>
      </c>
      <c r="D551" s="85">
        <v>83454</v>
      </c>
      <c r="E551" s="86" t="s">
        <v>1037</v>
      </c>
      <c r="F551" s="63" t="s">
        <v>468</v>
      </c>
      <c r="G551" s="203">
        <v>7.42</v>
      </c>
      <c r="H551" s="205">
        <v>14.84</v>
      </c>
    </row>
    <row r="552" spans="2:8" ht="15">
      <c r="B552" s="85">
        <v>4823114050336</v>
      </c>
      <c r="C552" s="85" t="s">
        <v>1041</v>
      </c>
      <c r="D552" s="85">
        <v>83455</v>
      </c>
      <c r="E552" s="86" t="s">
        <v>1037</v>
      </c>
      <c r="F552" s="63" t="s">
        <v>814</v>
      </c>
      <c r="G552" s="203">
        <v>7.42</v>
      </c>
      <c r="H552" s="205">
        <v>14.84</v>
      </c>
    </row>
    <row r="553" spans="2:8" ht="15">
      <c r="B553" s="85">
        <v>4823114050343</v>
      </c>
      <c r="C553" s="85" t="s">
        <v>1042</v>
      </c>
      <c r="D553" s="85">
        <v>83456</v>
      </c>
      <c r="E553" s="86" t="s">
        <v>1037</v>
      </c>
      <c r="F553" s="63" t="s">
        <v>816</v>
      </c>
      <c r="G553" s="203">
        <v>7.42</v>
      </c>
      <c r="H553" s="205">
        <v>14.84</v>
      </c>
    </row>
    <row r="554" spans="2:8" ht="15">
      <c r="B554" s="85">
        <v>4823114050350</v>
      </c>
      <c r="C554" s="85" t="s">
        <v>1043</v>
      </c>
      <c r="D554" s="85">
        <v>83457</v>
      </c>
      <c r="E554" s="86" t="s">
        <v>1037</v>
      </c>
      <c r="F554" s="63" t="s">
        <v>818</v>
      </c>
      <c r="G554" s="203">
        <v>7.42</v>
      </c>
      <c r="H554" s="205">
        <v>14.84</v>
      </c>
    </row>
    <row r="555" spans="2:8" ht="15">
      <c r="B555" s="85">
        <v>4823114050282</v>
      </c>
      <c r="C555" s="85" t="s">
        <v>1044</v>
      </c>
      <c r="D555" s="85">
        <v>83450</v>
      </c>
      <c r="E555" s="86" t="s">
        <v>1037</v>
      </c>
      <c r="F555" s="63" t="s">
        <v>19</v>
      </c>
      <c r="G555" s="203">
        <v>7.42</v>
      </c>
      <c r="H555" s="205">
        <v>14.84</v>
      </c>
    </row>
    <row r="556" spans="2:8" ht="15">
      <c r="B556" s="85">
        <v>4823114050213</v>
      </c>
      <c r="C556" s="85" t="s">
        <v>1045</v>
      </c>
      <c r="D556" s="85">
        <v>83443</v>
      </c>
      <c r="E556" s="86" t="s">
        <v>1046</v>
      </c>
      <c r="F556" s="63" t="s">
        <v>16</v>
      </c>
      <c r="G556" s="203">
        <v>9.18</v>
      </c>
      <c r="H556" s="205">
        <v>18.37</v>
      </c>
    </row>
    <row r="557" spans="2:8" ht="15">
      <c r="B557" s="85">
        <v>4823114050220</v>
      </c>
      <c r="C557" s="85" t="s">
        <v>1047</v>
      </c>
      <c r="D557" s="85">
        <v>83444</v>
      </c>
      <c r="E557" s="86" t="s">
        <v>1046</v>
      </c>
      <c r="F557" s="63" t="s">
        <v>810</v>
      </c>
      <c r="G557" s="203">
        <v>9.18</v>
      </c>
      <c r="H557" s="205">
        <v>18.37</v>
      </c>
    </row>
    <row r="558" spans="2:8" ht="15">
      <c r="B558" s="85">
        <v>4823114050237</v>
      </c>
      <c r="C558" s="85" t="s">
        <v>1048</v>
      </c>
      <c r="D558" s="85">
        <v>83445</v>
      </c>
      <c r="E558" s="86" t="s">
        <v>1046</v>
      </c>
      <c r="F558" s="63" t="s">
        <v>148</v>
      </c>
      <c r="G558" s="203">
        <v>9.18</v>
      </c>
      <c r="H558" s="205">
        <v>18.37</v>
      </c>
    </row>
    <row r="559" spans="2:8" ht="15">
      <c r="B559" s="85">
        <v>4823114050244</v>
      </c>
      <c r="C559" s="85" t="s">
        <v>1049</v>
      </c>
      <c r="D559" s="85">
        <v>83446</v>
      </c>
      <c r="E559" s="86" t="s">
        <v>1046</v>
      </c>
      <c r="F559" s="63" t="s">
        <v>468</v>
      </c>
      <c r="G559" s="203">
        <v>9.18</v>
      </c>
      <c r="H559" s="205">
        <v>18.37</v>
      </c>
    </row>
    <row r="560" spans="2:8" ht="15">
      <c r="B560" s="85">
        <v>4823114050251</v>
      </c>
      <c r="C560" s="85" t="s">
        <v>1050</v>
      </c>
      <c r="D560" s="85">
        <v>83447</v>
      </c>
      <c r="E560" s="86" t="s">
        <v>1046</v>
      </c>
      <c r="F560" s="63" t="s">
        <v>814</v>
      </c>
      <c r="G560" s="203">
        <v>9.18</v>
      </c>
      <c r="H560" s="205">
        <v>18.37</v>
      </c>
    </row>
    <row r="561" spans="2:8" ht="15">
      <c r="B561" s="85">
        <v>4823114050268</v>
      </c>
      <c r="C561" s="85" t="s">
        <v>1051</v>
      </c>
      <c r="D561" s="85">
        <v>83448</v>
      </c>
      <c r="E561" s="86" t="s">
        <v>1046</v>
      </c>
      <c r="F561" s="63" t="s">
        <v>816</v>
      </c>
      <c r="G561" s="203">
        <v>9.18</v>
      </c>
      <c r="H561" s="205">
        <v>18.37</v>
      </c>
    </row>
    <row r="562" spans="2:8" ht="15">
      <c r="B562" s="85">
        <v>4823114050275</v>
      </c>
      <c r="C562" s="85" t="s">
        <v>1052</v>
      </c>
      <c r="D562" s="85">
        <v>83449</v>
      </c>
      <c r="E562" s="86" t="s">
        <v>1046</v>
      </c>
      <c r="F562" s="63" t="s">
        <v>818</v>
      </c>
      <c r="G562" s="203">
        <v>9.18</v>
      </c>
      <c r="H562" s="205">
        <v>18.37</v>
      </c>
    </row>
    <row r="563" spans="2:8" ht="15">
      <c r="B563" s="85">
        <v>4823114050206</v>
      </c>
      <c r="C563" s="85" t="s">
        <v>1053</v>
      </c>
      <c r="D563" s="85">
        <v>83442</v>
      </c>
      <c r="E563" s="86" t="s">
        <v>1046</v>
      </c>
      <c r="F563" s="63" t="s">
        <v>19</v>
      </c>
      <c r="G563" s="203">
        <v>9.18</v>
      </c>
      <c r="H563" s="205">
        <v>18.37</v>
      </c>
    </row>
    <row r="564" spans="2:8" ht="15">
      <c r="B564" s="85">
        <v>4823114050138</v>
      </c>
      <c r="C564" s="85" t="s">
        <v>1054</v>
      </c>
      <c r="D564" s="85">
        <v>83435</v>
      </c>
      <c r="E564" s="86" t="s">
        <v>1055</v>
      </c>
      <c r="F564" s="63" t="s">
        <v>16</v>
      </c>
      <c r="G564" s="203">
        <v>7.99</v>
      </c>
      <c r="H564" s="205">
        <v>15.99</v>
      </c>
    </row>
    <row r="565" spans="2:8" ht="15">
      <c r="B565" s="85">
        <v>4823114050145</v>
      </c>
      <c r="C565" s="85" t="s">
        <v>1056</v>
      </c>
      <c r="D565" s="85">
        <v>83436</v>
      </c>
      <c r="E565" s="86" t="s">
        <v>1055</v>
      </c>
      <c r="F565" s="63" t="s">
        <v>810</v>
      </c>
      <c r="G565" s="203">
        <v>7.99</v>
      </c>
      <c r="H565" s="205">
        <v>15.99</v>
      </c>
    </row>
    <row r="566" spans="2:8" ht="15">
      <c r="B566" s="85">
        <v>4823114050152</v>
      </c>
      <c r="C566" s="85" t="s">
        <v>1057</v>
      </c>
      <c r="D566" s="85">
        <v>83437</v>
      </c>
      <c r="E566" s="86" t="s">
        <v>1055</v>
      </c>
      <c r="F566" s="63" t="s">
        <v>148</v>
      </c>
      <c r="G566" s="203">
        <v>7.99</v>
      </c>
      <c r="H566" s="205">
        <v>15.99</v>
      </c>
    </row>
    <row r="567" spans="2:8" ht="15">
      <c r="B567" s="85">
        <v>4823114050169</v>
      </c>
      <c r="C567" s="85" t="s">
        <v>1058</v>
      </c>
      <c r="D567" s="85">
        <v>83438</v>
      </c>
      <c r="E567" s="86" t="s">
        <v>1055</v>
      </c>
      <c r="F567" s="63" t="s">
        <v>468</v>
      </c>
      <c r="G567" s="203">
        <v>7.99</v>
      </c>
      <c r="H567" s="205">
        <v>15.99</v>
      </c>
    </row>
    <row r="568" spans="2:8" ht="15">
      <c r="B568" s="85">
        <v>4823114050176</v>
      </c>
      <c r="C568" s="85" t="s">
        <v>1059</v>
      </c>
      <c r="D568" s="85">
        <v>83439</v>
      </c>
      <c r="E568" s="86" t="s">
        <v>1055</v>
      </c>
      <c r="F568" s="63" t="s">
        <v>814</v>
      </c>
      <c r="G568" s="203">
        <v>7.99</v>
      </c>
      <c r="H568" s="205">
        <v>15.99</v>
      </c>
    </row>
    <row r="569" spans="2:8" ht="15">
      <c r="B569" s="85">
        <v>4823114050183</v>
      </c>
      <c r="C569" s="85" t="s">
        <v>1060</v>
      </c>
      <c r="D569" s="85">
        <v>83440</v>
      </c>
      <c r="E569" s="86" t="s">
        <v>1055</v>
      </c>
      <c r="F569" s="63" t="s">
        <v>816</v>
      </c>
      <c r="G569" s="203">
        <v>7.99</v>
      </c>
      <c r="H569" s="205">
        <v>15.99</v>
      </c>
    </row>
    <row r="570" spans="2:8" ht="15">
      <c r="B570" s="85">
        <v>4823114050190</v>
      </c>
      <c r="C570" s="85" t="s">
        <v>1061</v>
      </c>
      <c r="D570" s="85">
        <v>83441</v>
      </c>
      <c r="E570" s="86" t="s">
        <v>1055</v>
      </c>
      <c r="F570" s="63" t="s">
        <v>818</v>
      </c>
      <c r="G570" s="203">
        <v>7.99</v>
      </c>
      <c r="H570" s="205">
        <v>15.99</v>
      </c>
    </row>
    <row r="571" spans="2:8" ht="15">
      <c r="B571" s="85">
        <v>4823114050121</v>
      </c>
      <c r="C571" s="85" t="s">
        <v>1062</v>
      </c>
      <c r="D571" s="85">
        <v>83434</v>
      </c>
      <c r="E571" s="86" t="s">
        <v>1055</v>
      </c>
      <c r="F571" s="63" t="s">
        <v>19</v>
      </c>
      <c r="G571" s="203">
        <v>7.99</v>
      </c>
      <c r="H571" s="205">
        <v>15.99</v>
      </c>
    </row>
    <row r="572" spans="2:8" ht="15">
      <c r="B572" s="85">
        <v>4823114061158</v>
      </c>
      <c r="C572" s="85" t="s">
        <v>1064</v>
      </c>
      <c r="D572" s="85">
        <v>98592</v>
      </c>
      <c r="E572" s="86" t="s">
        <v>1065</v>
      </c>
      <c r="F572" s="88" t="s">
        <v>16</v>
      </c>
      <c r="G572" s="36">
        <v>14.08</v>
      </c>
      <c r="H572" s="36">
        <v>28.16</v>
      </c>
    </row>
    <row r="573" spans="2:8" ht="15">
      <c r="B573" s="85">
        <v>4823114060977</v>
      </c>
      <c r="C573" s="85" t="s">
        <v>1066</v>
      </c>
      <c r="D573" s="85">
        <v>91251</v>
      </c>
      <c r="E573" s="86" t="s">
        <v>1065</v>
      </c>
      <c r="F573" s="88" t="s">
        <v>19</v>
      </c>
      <c r="G573" s="36">
        <v>14.08</v>
      </c>
      <c r="H573" s="36">
        <v>28.16</v>
      </c>
    </row>
    <row r="574" spans="2:8" ht="15">
      <c r="B574" s="85">
        <v>4823114061219</v>
      </c>
      <c r="C574" s="85" t="s">
        <v>1067</v>
      </c>
      <c r="D574" s="85">
        <v>98599</v>
      </c>
      <c r="E574" s="86" t="s">
        <v>1065</v>
      </c>
      <c r="F574" s="88" t="s">
        <v>818</v>
      </c>
      <c r="G574" s="36">
        <v>14.08</v>
      </c>
      <c r="H574" s="36">
        <v>28.16</v>
      </c>
    </row>
    <row r="575" spans="2:8" ht="15">
      <c r="B575" s="85">
        <v>4823114061202</v>
      </c>
      <c r="C575" s="85" t="s">
        <v>1068</v>
      </c>
      <c r="D575" s="85">
        <v>98598</v>
      </c>
      <c r="E575" s="86" t="s">
        <v>1065</v>
      </c>
      <c r="F575" s="88" t="s">
        <v>816</v>
      </c>
      <c r="G575" s="36">
        <v>14.08</v>
      </c>
      <c r="H575" s="36">
        <v>28.16</v>
      </c>
    </row>
    <row r="576" spans="2:8" ht="15">
      <c r="B576" s="85">
        <v>4823114061196</v>
      </c>
      <c r="C576" s="85" t="s">
        <v>1069</v>
      </c>
      <c r="D576" s="85">
        <v>98597</v>
      </c>
      <c r="E576" s="86" t="s">
        <v>1065</v>
      </c>
      <c r="F576" s="88" t="s">
        <v>814</v>
      </c>
      <c r="G576" s="36">
        <v>14.08</v>
      </c>
      <c r="H576" s="36">
        <v>28.16</v>
      </c>
    </row>
    <row r="577" spans="2:8" ht="12.75">
      <c r="B577" s="85">
        <v>4823114061189</v>
      </c>
      <c r="C577" s="85" t="s">
        <v>1070</v>
      </c>
      <c r="D577" s="85">
        <v>98596</v>
      </c>
      <c r="E577" s="85" t="s">
        <v>1065</v>
      </c>
      <c r="F577" s="181" t="s">
        <v>468</v>
      </c>
      <c r="G577" s="36">
        <v>14.08</v>
      </c>
      <c r="H577" s="36">
        <v>28.16</v>
      </c>
    </row>
    <row r="578" spans="2:8" ht="15">
      <c r="B578" s="85">
        <v>4823114061172</v>
      </c>
      <c r="C578" s="85" t="s">
        <v>1071</v>
      </c>
      <c r="D578" s="85">
        <v>98595</v>
      </c>
      <c r="E578" s="86" t="s">
        <v>1065</v>
      </c>
      <c r="F578" s="88" t="s">
        <v>148</v>
      </c>
      <c r="G578" s="36">
        <v>14.08</v>
      </c>
      <c r="H578" s="36">
        <v>28.16</v>
      </c>
    </row>
    <row r="579" spans="2:8" ht="15">
      <c r="B579" s="85">
        <v>4823114061165</v>
      </c>
      <c r="C579" s="85" t="s">
        <v>1072</v>
      </c>
      <c r="D579" s="85">
        <v>98594</v>
      </c>
      <c r="E579" s="86" t="s">
        <v>1065</v>
      </c>
      <c r="F579" s="88" t="s">
        <v>810</v>
      </c>
      <c r="G579" s="36">
        <v>14.08</v>
      </c>
      <c r="H579" s="36">
        <v>28.16</v>
      </c>
    </row>
    <row r="580" spans="2:8" ht="15">
      <c r="B580" s="85">
        <v>4823114061226</v>
      </c>
      <c r="C580" s="85" t="s">
        <v>1073</v>
      </c>
      <c r="D580" s="85">
        <v>98600</v>
      </c>
      <c r="E580" s="86" t="s">
        <v>1074</v>
      </c>
      <c r="F580" s="88" t="s">
        <v>16</v>
      </c>
      <c r="G580" s="36">
        <v>14.08</v>
      </c>
      <c r="H580" s="36">
        <v>28.16</v>
      </c>
    </row>
    <row r="581" spans="2:8" ht="15">
      <c r="B581" s="85">
        <v>4823114061004</v>
      </c>
      <c r="C581" s="85" t="s">
        <v>1075</v>
      </c>
      <c r="D581" s="85">
        <v>91253</v>
      </c>
      <c r="E581" s="86" t="s">
        <v>1074</v>
      </c>
      <c r="F581" s="88" t="s">
        <v>19</v>
      </c>
      <c r="G581" s="36">
        <v>14.08</v>
      </c>
      <c r="H581" s="36">
        <v>28.16</v>
      </c>
    </row>
    <row r="582" spans="2:8" ht="15">
      <c r="B582" s="85">
        <v>4823114061288</v>
      </c>
      <c r="C582" s="85" t="s">
        <v>1076</v>
      </c>
      <c r="D582" s="85">
        <v>98606</v>
      </c>
      <c r="E582" s="86" t="s">
        <v>1074</v>
      </c>
      <c r="F582" s="88" t="s">
        <v>818</v>
      </c>
      <c r="G582" s="36">
        <v>14.08</v>
      </c>
      <c r="H582" s="36">
        <v>28.16</v>
      </c>
    </row>
    <row r="583" spans="2:8" ht="15">
      <c r="B583" s="85">
        <v>4823114061271</v>
      </c>
      <c r="C583" s="85" t="s">
        <v>1077</v>
      </c>
      <c r="D583" s="85">
        <v>98605</v>
      </c>
      <c r="E583" s="86" t="s">
        <v>1074</v>
      </c>
      <c r="F583" s="88" t="s">
        <v>816</v>
      </c>
      <c r="G583" s="36">
        <v>14.08</v>
      </c>
      <c r="H583" s="36">
        <v>28.16</v>
      </c>
    </row>
    <row r="584" spans="2:8" ht="15">
      <c r="B584" s="85">
        <v>4823114061264</v>
      </c>
      <c r="C584" s="85" t="s">
        <v>1078</v>
      </c>
      <c r="D584" s="85">
        <v>98604</v>
      </c>
      <c r="E584" s="86" t="s">
        <v>1074</v>
      </c>
      <c r="F584" s="88" t="s">
        <v>814</v>
      </c>
      <c r="G584" s="36">
        <v>14.08</v>
      </c>
      <c r="H584" s="36">
        <v>28.16</v>
      </c>
    </row>
    <row r="585" spans="2:8" ht="15">
      <c r="B585" s="85">
        <v>4823114061257</v>
      </c>
      <c r="C585" s="85" t="s">
        <v>1079</v>
      </c>
      <c r="D585" s="85">
        <v>98603</v>
      </c>
      <c r="E585" s="86" t="s">
        <v>1074</v>
      </c>
      <c r="F585" s="88" t="s">
        <v>468</v>
      </c>
      <c r="G585" s="36">
        <v>14.08</v>
      </c>
      <c r="H585" s="36">
        <v>28.16</v>
      </c>
    </row>
    <row r="586" spans="2:8" ht="15">
      <c r="B586" s="85">
        <v>4823114061240</v>
      </c>
      <c r="C586" s="85" t="s">
        <v>1080</v>
      </c>
      <c r="D586" s="85">
        <v>98602</v>
      </c>
      <c r="E586" s="86" t="s">
        <v>1074</v>
      </c>
      <c r="F586" s="88" t="s">
        <v>148</v>
      </c>
      <c r="G586" s="36">
        <v>14.08</v>
      </c>
      <c r="H586" s="36">
        <v>28.16</v>
      </c>
    </row>
    <row r="587" spans="2:8" ht="15">
      <c r="B587" s="85">
        <v>4823114061233</v>
      </c>
      <c r="C587" s="85" t="s">
        <v>1081</v>
      </c>
      <c r="D587" s="85">
        <v>98601</v>
      </c>
      <c r="E587" s="86" t="s">
        <v>1074</v>
      </c>
      <c r="F587" s="88" t="s">
        <v>810</v>
      </c>
      <c r="G587" s="36">
        <v>14.08</v>
      </c>
      <c r="H587" s="36">
        <v>28.16</v>
      </c>
    </row>
    <row r="588" spans="2:8" ht="15">
      <c r="B588" s="61">
        <v>4823114061363</v>
      </c>
      <c r="C588" s="61" t="s">
        <v>1084</v>
      </c>
      <c r="D588" s="61">
        <v>98614</v>
      </c>
      <c r="E588" s="61" t="s">
        <v>1085</v>
      </c>
      <c r="F588" s="63" t="s">
        <v>25</v>
      </c>
      <c r="G588" s="274">
        <v>6.22</v>
      </c>
      <c r="H588" s="36">
        <v>12.44</v>
      </c>
    </row>
    <row r="589" spans="2:8" ht="15">
      <c r="B589" s="32">
        <v>4823114071713</v>
      </c>
      <c r="C589" s="33" t="s">
        <v>1088</v>
      </c>
      <c r="D589" s="32">
        <v>126118</v>
      </c>
      <c r="E589" s="33" t="s">
        <v>1089</v>
      </c>
      <c r="F589" s="35" t="s">
        <v>25</v>
      </c>
      <c r="G589" s="36">
        <v>4.8600000000000003</v>
      </c>
      <c r="H589" s="36">
        <v>9.7200000000000006</v>
      </c>
    </row>
    <row r="590" spans="2:8" ht="15">
      <c r="B590" s="32">
        <v>4823114071720</v>
      </c>
      <c r="C590" s="33" t="s">
        <v>1090</v>
      </c>
      <c r="D590" s="32">
        <v>126119</v>
      </c>
      <c r="E590" s="33" t="s">
        <v>1091</v>
      </c>
      <c r="F590" s="35" t="s">
        <v>25</v>
      </c>
      <c r="G590" s="36">
        <v>4.8600000000000003</v>
      </c>
      <c r="H590" s="36">
        <v>9.7200000000000006</v>
      </c>
    </row>
    <row r="591" spans="2:8" ht="15">
      <c r="B591" s="32">
        <v>4823114071744</v>
      </c>
      <c r="C591" s="33" t="s">
        <v>1092</v>
      </c>
      <c r="D591" s="32">
        <v>126121</v>
      </c>
      <c r="E591" s="33" t="s">
        <v>1093</v>
      </c>
      <c r="F591" s="35" t="s">
        <v>16</v>
      </c>
      <c r="G591" s="36">
        <v>3.9</v>
      </c>
      <c r="H591" s="36">
        <v>7.8</v>
      </c>
    </row>
    <row r="592" spans="2:8" ht="15">
      <c r="B592" s="32">
        <v>4823114071737</v>
      </c>
      <c r="C592" s="33" t="s">
        <v>1094</v>
      </c>
      <c r="D592" s="32">
        <v>126120</v>
      </c>
      <c r="E592" s="33" t="s">
        <v>1093</v>
      </c>
      <c r="F592" s="35" t="s">
        <v>19</v>
      </c>
      <c r="G592" s="36">
        <v>3.9</v>
      </c>
      <c r="H592" s="36">
        <v>7.8</v>
      </c>
    </row>
    <row r="593" spans="2:8" ht="15">
      <c r="B593" s="32">
        <v>4823114071751</v>
      </c>
      <c r="C593" s="33" t="s">
        <v>1095</v>
      </c>
      <c r="D593" s="32">
        <v>126122</v>
      </c>
      <c r="E593" s="33" t="s">
        <v>1093</v>
      </c>
      <c r="F593" s="35" t="s">
        <v>814</v>
      </c>
      <c r="G593" s="36">
        <v>3.9</v>
      </c>
      <c r="H593" s="36">
        <v>7.8</v>
      </c>
    </row>
    <row r="594" spans="2:8" ht="15">
      <c r="B594" s="32">
        <v>4823114071768</v>
      </c>
      <c r="C594" s="33" t="s">
        <v>1096</v>
      </c>
      <c r="D594" s="32">
        <v>126123</v>
      </c>
      <c r="E594" s="33" t="s">
        <v>1093</v>
      </c>
      <c r="F594" s="35" t="s">
        <v>468</v>
      </c>
      <c r="G594" s="36">
        <v>3.9</v>
      </c>
      <c r="H594" s="36">
        <v>7.8</v>
      </c>
    </row>
    <row r="595" spans="2:8" ht="15">
      <c r="B595" s="32">
        <v>4823114071775</v>
      </c>
      <c r="C595" s="33" t="s">
        <v>1097</v>
      </c>
      <c r="D595" s="32">
        <v>126124</v>
      </c>
      <c r="E595" s="33" t="s">
        <v>1093</v>
      </c>
      <c r="F595" s="35" t="s">
        <v>148</v>
      </c>
      <c r="G595" s="36">
        <v>3.9</v>
      </c>
      <c r="H595" s="36">
        <v>7.8</v>
      </c>
    </row>
    <row r="596" spans="2:8" ht="15">
      <c r="B596" s="32">
        <v>4823114071782</v>
      </c>
      <c r="C596" s="33" t="s">
        <v>1098</v>
      </c>
      <c r="D596" s="32">
        <v>126125</v>
      </c>
      <c r="E596" s="33" t="s">
        <v>1093</v>
      </c>
      <c r="F596" s="35" t="s">
        <v>810</v>
      </c>
      <c r="G596" s="36">
        <v>3.9</v>
      </c>
      <c r="H596" s="36">
        <v>7.8</v>
      </c>
    </row>
    <row r="597" spans="2:8" ht="15">
      <c r="B597" s="32">
        <v>4823114071799</v>
      </c>
      <c r="C597" s="33" t="s">
        <v>1099</v>
      </c>
      <c r="D597" s="32">
        <v>126126</v>
      </c>
      <c r="E597" s="33" t="s">
        <v>1093</v>
      </c>
      <c r="F597" s="35" t="s">
        <v>818</v>
      </c>
      <c r="G597" s="36">
        <v>3.9</v>
      </c>
      <c r="H597" s="36">
        <v>7.8</v>
      </c>
    </row>
    <row r="598" spans="2:8" ht="15">
      <c r="B598" s="32">
        <v>4823114071805</v>
      </c>
      <c r="C598" s="33" t="s">
        <v>1100</v>
      </c>
      <c r="D598" s="32">
        <v>126127</v>
      </c>
      <c r="E598" s="33" t="s">
        <v>1093</v>
      </c>
      <c r="F598" s="35" t="s">
        <v>816</v>
      </c>
      <c r="G598" s="36">
        <v>3.9</v>
      </c>
      <c r="H598" s="36">
        <v>7.8</v>
      </c>
    </row>
    <row r="599" spans="2:8" ht="15">
      <c r="B599" s="32">
        <v>4823114071829</v>
      </c>
      <c r="C599" s="33" t="s">
        <v>1101</v>
      </c>
      <c r="D599" s="32">
        <v>126129</v>
      </c>
      <c r="E599" s="33" t="s">
        <v>1102</v>
      </c>
      <c r="F599" s="35" t="s">
        <v>16</v>
      </c>
      <c r="G599" s="36">
        <v>4.34</v>
      </c>
      <c r="H599" s="36">
        <v>8.68</v>
      </c>
    </row>
    <row r="600" spans="2:8" ht="15">
      <c r="B600" s="32">
        <v>4823114071812</v>
      </c>
      <c r="C600" s="33" t="s">
        <v>1103</v>
      </c>
      <c r="D600" s="32">
        <v>126128</v>
      </c>
      <c r="E600" s="33" t="s">
        <v>1102</v>
      </c>
      <c r="F600" s="35" t="s">
        <v>19</v>
      </c>
      <c r="G600" s="36">
        <v>4.34</v>
      </c>
      <c r="H600" s="36">
        <v>8.68</v>
      </c>
    </row>
    <row r="601" spans="2:8" ht="15">
      <c r="B601" s="32">
        <v>4823114071836</v>
      </c>
      <c r="C601" s="33" t="s">
        <v>1104</v>
      </c>
      <c r="D601" s="32">
        <v>126130</v>
      </c>
      <c r="E601" s="33" t="s">
        <v>1102</v>
      </c>
      <c r="F601" s="35" t="s">
        <v>814</v>
      </c>
      <c r="G601" s="36">
        <v>4.34</v>
      </c>
      <c r="H601" s="36">
        <v>8.68</v>
      </c>
    </row>
    <row r="602" spans="2:8" ht="15">
      <c r="B602" s="32">
        <v>4823114071843</v>
      </c>
      <c r="C602" s="33" t="s">
        <v>1105</v>
      </c>
      <c r="D602" s="32">
        <v>126131</v>
      </c>
      <c r="E602" s="33" t="s">
        <v>1102</v>
      </c>
      <c r="F602" s="35" t="s">
        <v>468</v>
      </c>
      <c r="G602" s="36">
        <v>4.34</v>
      </c>
      <c r="H602" s="36">
        <v>8.68</v>
      </c>
    </row>
    <row r="603" spans="2:8" ht="15">
      <c r="B603" s="32">
        <v>4823114071850</v>
      </c>
      <c r="C603" s="33" t="s">
        <v>1106</v>
      </c>
      <c r="D603" s="32">
        <v>126132</v>
      </c>
      <c r="E603" s="33" t="s">
        <v>1102</v>
      </c>
      <c r="F603" s="35" t="s">
        <v>148</v>
      </c>
      <c r="G603" s="36">
        <v>4.34</v>
      </c>
      <c r="H603" s="36">
        <v>8.68</v>
      </c>
    </row>
    <row r="604" spans="2:8" ht="15">
      <c r="B604" s="32">
        <v>4823114071867</v>
      </c>
      <c r="C604" s="33" t="s">
        <v>1107</v>
      </c>
      <c r="D604" s="32">
        <v>126133</v>
      </c>
      <c r="E604" s="33" t="s">
        <v>1102</v>
      </c>
      <c r="F604" s="35" t="s">
        <v>810</v>
      </c>
      <c r="G604" s="36">
        <v>4.34</v>
      </c>
      <c r="H604" s="36">
        <v>8.68</v>
      </c>
    </row>
    <row r="605" spans="2:8" ht="15">
      <c r="B605" s="32">
        <v>4823114071874</v>
      </c>
      <c r="C605" s="33" t="s">
        <v>1108</v>
      </c>
      <c r="D605" s="32">
        <v>126134</v>
      </c>
      <c r="E605" s="33" t="s">
        <v>1102</v>
      </c>
      <c r="F605" s="35" t="s">
        <v>818</v>
      </c>
      <c r="G605" s="36">
        <v>4.34</v>
      </c>
      <c r="H605" s="36">
        <v>8.68</v>
      </c>
    </row>
    <row r="606" spans="2:8" ht="15">
      <c r="B606" s="32">
        <v>4823114071881</v>
      </c>
      <c r="C606" s="33" t="s">
        <v>1109</v>
      </c>
      <c r="D606" s="32">
        <v>126135</v>
      </c>
      <c r="E606" s="33" t="s">
        <v>1102</v>
      </c>
      <c r="F606" s="35" t="s">
        <v>816</v>
      </c>
      <c r="G606" s="36">
        <v>4.34</v>
      </c>
      <c r="H606" s="36">
        <v>8.68</v>
      </c>
    </row>
    <row r="607" spans="2:8" ht="15">
      <c r="B607" s="32">
        <v>4823114071904</v>
      </c>
      <c r="C607" s="33" t="s">
        <v>1110</v>
      </c>
      <c r="D607" s="32">
        <v>126137</v>
      </c>
      <c r="E607" s="33" t="s">
        <v>1111</v>
      </c>
      <c r="F607" s="35" t="s">
        <v>16</v>
      </c>
      <c r="G607" s="36">
        <v>3.23</v>
      </c>
      <c r="H607" s="36">
        <v>6.46</v>
      </c>
    </row>
    <row r="608" spans="2:8" ht="15">
      <c r="B608" s="32">
        <v>4823114071898</v>
      </c>
      <c r="C608" s="33" t="s">
        <v>1112</v>
      </c>
      <c r="D608" s="32">
        <v>126136</v>
      </c>
      <c r="E608" s="33" t="s">
        <v>1111</v>
      </c>
      <c r="F608" s="35" t="s">
        <v>19</v>
      </c>
      <c r="G608" s="36">
        <v>3.23</v>
      </c>
      <c r="H608" s="36">
        <v>6.46</v>
      </c>
    </row>
    <row r="609" spans="2:8" ht="15">
      <c r="B609" s="32">
        <v>4823114071911</v>
      </c>
      <c r="C609" s="33" t="s">
        <v>1113</v>
      </c>
      <c r="D609" s="32">
        <v>126138</v>
      </c>
      <c r="E609" s="33" t="s">
        <v>1111</v>
      </c>
      <c r="F609" s="35" t="s">
        <v>814</v>
      </c>
      <c r="G609" s="36">
        <v>3.23</v>
      </c>
      <c r="H609" s="36">
        <v>6.46</v>
      </c>
    </row>
    <row r="610" spans="2:8" ht="15">
      <c r="B610" s="32">
        <v>4823114071928</v>
      </c>
      <c r="C610" s="33" t="s">
        <v>1114</v>
      </c>
      <c r="D610" s="32">
        <v>126139</v>
      </c>
      <c r="E610" s="33" t="s">
        <v>1111</v>
      </c>
      <c r="F610" s="35" t="s">
        <v>468</v>
      </c>
      <c r="G610" s="36">
        <v>3.23</v>
      </c>
      <c r="H610" s="36">
        <v>6.46</v>
      </c>
    </row>
    <row r="611" spans="2:8" ht="15">
      <c r="B611" s="32">
        <v>4823114071935</v>
      </c>
      <c r="C611" s="33" t="s">
        <v>1115</v>
      </c>
      <c r="D611" s="32">
        <v>126140</v>
      </c>
      <c r="E611" s="33" t="s">
        <v>1111</v>
      </c>
      <c r="F611" s="35" t="s">
        <v>148</v>
      </c>
      <c r="G611" s="36">
        <v>3.23</v>
      </c>
      <c r="H611" s="36">
        <v>6.46</v>
      </c>
    </row>
    <row r="612" spans="2:8" ht="15">
      <c r="B612" s="32">
        <v>4823114071942</v>
      </c>
      <c r="C612" s="33" t="s">
        <v>1116</v>
      </c>
      <c r="D612" s="32">
        <v>126141</v>
      </c>
      <c r="E612" s="33" t="s">
        <v>1111</v>
      </c>
      <c r="F612" s="35" t="s">
        <v>810</v>
      </c>
      <c r="G612" s="36">
        <v>3.23</v>
      </c>
      <c r="H612" s="36">
        <v>6.46</v>
      </c>
    </row>
    <row r="613" spans="2:8" ht="15">
      <c r="B613" s="32">
        <v>4823114071959</v>
      </c>
      <c r="C613" s="33" t="s">
        <v>1117</v>
      </c>
      <c r="D613" s="32">
        <v>126142</v>
      </c>
      <c r="E613" s="33" t="s">
        <v>1111</v>
      </c>
      <c r="F613" s="35" t="s">
        <v>818</v>
      </c>
      <c r="G613" s="36">
        <v>3.23</v>
      </c>
      <c r="H613" s="36">
        <v>6.46</v>
      </c>
    </row>
    <row r="614" spans="2:8" ht="15">
      <c r="B614" s="32">
        <v>4823114071966</v>
      </c>
      <c r="C614" s="33" t="s">
        <v>1118</v>
      </c>
      <c r="D614" s="32">
        <v>126143</v>
      </c>
      <c r="E614" s="33" t="s">
        <v>1111</v>
      </c>
      <c r="F614" s="35" t="s">
        <v>816</v>
      </c>
      <c r="G614" s="36">
        <v>3.23</v>
      </c>
      <c r="H614" s="36">
        <v>6.46</v>
      </c>
    </row>
    <row r="615" spans="2:8" ht="15">
      <c r="B615" s="87">
        <v>4823114065125</v>
      </c>
      <c r="C615" s="87" t="s">
        <v>1120</v>
      </c>
      <c r="D615" s="87">
        <v>107589</v>
      </c>
      <c r="E615" s="87" t="s">
        <v>1121</v>
      </c>
      <c r="F615" s="88" t="s">
        <v>19</v>
      </c>
      <c r="G615" s="71">
        <v>8.1199999999999992</v>
      </c>
      <c r="H615" s="71">
        <v>16.239999999999998</v>
      </c>
    </row>
    <row r="616" spans="2:8" ht="15">
      <c r="B616" s="87">
        <v>4823114074325</v>
      </c>
      <c r="C616" s="87" t="s">
        <v>305</v>
      </c>
      <c r="D616" s="87">
        <v>130273</v>
      </c>
      <c r="E616" s="87" t="s">
        <v>306</v>
      </c>
      <c r="F616" s="88" t="s">
        <v>19</v>
      </c>
      <c r="G616" s="71">
        <v>76.17</v>
      </c>
      <c r="H616" s="71">
        <v>152.34</v>
      </c>
    </row>
    <row r="617" spans="2:8" ht="15">
      <c r="B617" s="38">
        <v>4823114079511</v>
      </c>
      <c r="C617" s="38" t="s">
        <v>26</v>
      </c>
      <c r="D617" s="38">
        <v>142514</v>
      </c>
      <c r="E617" s="39" t="s">
        <v>27</v>
      </c>
      <c r="F617" s="40" t="s">
        <v>16</v>
      </c>
      <c r="G617" s="41">
        <v>413.55549999999999</v>
      </c>
      <c r="H617" s="41">
        <v>827.11099999999999</v>
      </c>
    </row>
    <row r="618" spans="2:8" ht="15">
      <c r="B618" s="38">
        <v>4823114079504</v>
      </c>
      <c r="C618" s="38" t="s">
        <v>28</v>
      </c>
      <c r="D618" s="38">
        <v>142513</v>
      </c>
      <c r="E618" s="39" t="s">
        <v>27</v>
      </c>
      <c r="F618" s="40" t="s">
        <v>19</v>
      </c>
      <c r="G618" s="41">
        <v>413.55549999999999</v>
      </c>
      <c r="H618" s="41">
        <v>827.11099999999999</v>
      </c>
    </row>
    <row r="619" spans="2:8" ht="15">
      <c r="B619" s="38">
        <v>4823114079498</v>
      </c>
      <c r="C619" s="38" t="s">
        <v>29</v>
      </c>
      <c r="D619" s="38">
        <v>142512</v>
      </c>
      <c r="E619" s="39" t="s">
        <v>30</v>
      </c>
      <c r="F619" s="40" t="s">
        <v>25</v>
      </c>
      <c r="G619" s="41">
        <v>389.23599999999999</v>
      </c>
      <c r="H619" s="41">
        <v>778.47199999999998</v>
      </c>
    </row>
    <row r="620" spans="2:8" ht="15">
      <c r="B620" s="38">
        <v>4823114084416</v>
      </c>
      <c r="C620" s="38" t="s">
        <v>31</v>
      </c>
      <c r="D620" s="38">
        <v>158639</v>
      </c>
      <c r="E620" s="39" t="s">
        <v>32</v>
      </c>
      <c r="F620" s="40" t="s">
        <v>16</v>
      </c>
      <c r="G620" s="41">
        <v>620.32550000000003</v>
      </c>
      <c r="H620" s="41">
        <v>1240.6510000000001</v>
      </c>
    </row>
    <row r="621" spans="2:8" ht="15">
      <c r="B621" s="38">
        <v>4823114084454</v>
      </c>
      <c r="C621" s="38" t="s">
        <v>33</v>
      </c>
      <c r="D621" s="38">
        <v>158643</v>
      </c>
      <c r="E621" s="39" t="s">
        <v>32</v>
      </c>
      <c r="F621" s="40" t="s">
        <v>19</v>
      </c>
      <c r="G621" s="41">
        <v>620.32550000000003</v>
      </c>
      <c r="H621" s="41">
        <v>1240.6510000000001</v>
      </c>
    </row>
    <row r="622" spans="2:8" ht="15">
      <c r="B622" s="38">
        <v>4823114083761</v>
      </c>
      <c r="C622" s="38" t="s">
        <v>34</v>
      </c>
      <c r="D622" s="38">
        <v>141802</v>
      </c>
      <c r="E622" s="39" t="s">
        <v>35</v>
      </c>
      <c r="F622" s="40" t="s">
        <v>25</v>
      </c>
      <c r="G622" s="41">
        <v>548.01800000000003</v>
      </c>
      <c r="H622" s="41">
        <v>1096.0360000000001</v>
      </c>
    </row>
    <row r="623" spans="2:8" ht="15">
      <c r="B623" s="38">
        <v>4823114080784</v>
      </c>
      <c r="C623" s="38" t="s">
        <v>36</v>
      </c>
      <c r="D623" s="38">
        <v>148937</v>
      </c>
      <c r="E623" s="39" t="s">
        <v>37</v>
      </c>
      <c r="F623" s="40" t="s">
        <v>16</v>
      </c>
      <c r="G623" s="41">
        <v>369.286</v>
      </c>
      <c r="H623" s="41">
        <v>738.572</v>
      </c>
    </row>
    <row r="624" spans="2:8" ht="15">
      <c r="B624" s="38">
        <v>4823114080777</v>
      </c>
      <c r="C624" s="38" t="s">
        <v>39</v>
      </c>
      <c r="D624" s="38">
        <v>148936</v>
      </c>
      <c r="E624" s="39" t="s">
        <v>37</v>
      </c>
      <c r="F624" s="40" t="s">
        <v>19</v>
      </c>
      <c r="G624" s="41">
        <v>369.286</v>
      </c>
      <c r="H624" s="41">
        <v>738.572</v>
      </c>
    </row>
    <row r="625" spans="2:8" ht="15">
      <c r="B625" s="38">
        <v>4823114083303</v>
      </c>
      <c r="C625" s="38" t="s">
        <v>42</v>
      </c>
      <c r="D625" s="38">
        <v>156123</v>
      </c>
      <c r="E625" s="39" t="s">
        <v>43</v>
      </c>
      <c r="F625" s="46" t="s">
        <v>16</v>
      </c>
      <c r="G625" s="47">
        <v>127.15049999999999</v>
      </c>
      <c r="H625" s="48">
        <v>254.30099999999999</v>
      </c>
    </row>
    <row r="626" spans="2:8" ht="15">
      <c r="B626" s="38">
        <v>4823114083310</v>
      </c>
      <c r="C626" s="38" t="s">
        <v>44</v>
      </c>
      <c r="D626" s="38">
        <v>156122</v>
      </c>
      <c r="E626" s="39" t="s">
        <v>43</v>
      </c>
      <c r="F626" s="46" t="s">
        <v>19</v>
      </c>
      <c r="G626" s="47">
        <v>127.15049999999999</v>
      </c>
      <c r="H626" s="48">
        <v>254.30099999999999</v>
      </c>
    </row>
    <row r="627" spans="2:8" ht="15">
      <c r="B627" s="38">
        <v>4823114080869</v>
      </c>
      <c r="C627" s="38" t="s">
        <v>46</v>
      </c>
      <c r="D627" s="38">
        <v>149036</v>
      </c>
      <c r="E627" s="39" t="s">
        <v>47</v>
      </c>
      <c r="F627" s="40" t="s">
        <v>16</v>
      </c>
      <c r="G627" s="41">
        <v>31.464999999999996</v>
      </c>
      <c r="H627" s="41">
        <v>62.929999999999993</v>
      </c>
    </row>
    <row r="628" spans="2:8" ht="15">
      <c r="B628" s="38">
        <v>4823114080852</v>
      </c>
      <c r="C628" s="38" t="s">
        <v>48</v>
      </c>
      <c r="D628" s="38">
        <v>149035</v>
      </c>
      <c r="E628" s="39" t="s">
        <v>47</v>
      </c>
      <c r="F628" s="40" t="s">
        <v>19</v>
      </c>
      <c r="G628" s="41">
        <v>31.464999999999996</v>
      </c>
      <c r="H628" s="41">
        <v>62.929999999999993</v>
      </c>
    </row>
    <row r="629" spans="2:8" ht="15">
      <c r="B629" s="38">
        <v>4823114080883</v>
      </c>
      <c r="C629" s="38" t="s">
        <v>49</v>
      </c>
      <c r="D629" s="38">
        <v>149038</v>
      </c>
      <c r="E629" s="39" t="s">
        <v>50</v>
      </c>
      <c r="F629" s="40" t="s">
        <v>16</v>
      </c>
      <c r="G629" s="41">
        <v>53.707999999999998</v>
      </c>
      <c r="H629" s="41">
        <v>107.416</v>
      </c>
    </row>
    <row r="630" spans="2:8" ht="15">
      <c r="B630" s="38">
        <v>4823114080876</v>
      </c>
      <c r="C630" s="38" t="s">
        <v>51</v>
      </c>
      <c r="D630" s="38">
        <v>149037</v>
      </c>
      <c r="E630" s="39" t="s">
        <v>50</v>
      </c>
      <c r="F630" s="40" t="s">
        <v>19</v>
      </c>
      <c r="G630" s="41">
        <v>53.707999999999998</v>
      </c>
      <c r="H630" s="41">
        <v>107.416</v>
      </c>
    </row>
    <row r="631" spans="2:8" ht="15">
      <c r="B631" s="38">
        <v>4823114074790</v>
      </c>
      <c r="C631" s="38" t="s">
        <v>69</v>
      </c>
      <c r="D631" s="38">
        <v>130591</v>
      </c>
      <c r="E631" s="73" t="s">
        <v>70</v>
      </c>
      <c r="F631" s="40" t="s">
        <v>16</v>
      </c>
      <c r="G631" s="41">
        <v>50.648499999999999</v>
      </c>
      <c r="H631" s="41">
        <v>101.297</v>
      </c>
    </row>
    <row r="632" spans="2:8" ht="15">
      <c r="B632" s="38">
        <v>4823114074783</v>
      </c>
      <c r="C632" s="38" t="s">
        <v>71</v>
      </c>
      <c r="D632" s="38">
        <v>130590</v>
      </c>
      <c r="E632" s="73" t="s">
        <v>70</v>
      </c>
      <c r="F632" s="40" t="s">
        <v>19</v>
      </c>
      <c r="G632" s="41">
        <v>50.648499999999999</v>
      </c>
      <c r="H632" s="41">
        <v>101.297</v>
      </c>
    </row>
    <row r="633" spans="2:8" ht="15">
      <c r="B633" s="38">
        <v>4823114076688</v>
      </c>
      <c r="C633" s="38" t="s">
        <v>118</v>
      </c>
      <c r="D633" s="38">
        <v>135980</v>
      </c>
      <c r="E633" s="39" t="s">
        <v>119</v>
      </c>
      <c r="F633" s="40" t="s">
        <v>16</v>
      </c>
      <c r="G633" s="41">
        <v>69.469499999999996</v>
      </c>
      <c r="H633" s="41">
        <v>138.93899999999999</v>
      </c>
    </row>
    <row r="634" spans="2:8" ht="15">
      <c r="B634" s="38">
        <v>4823114076671</v>
      </c>
      <c r="C634" s="38" t="s">
        <v>120</v>
      </c>
      <c r="D634" s="38">
        <v>135979</v>
      </c>
      <c r="E634" s="39" t="s">
        <v>119</v>
      </c>
      <c r="F634" s="40" t="s">
        <v>19</v>
      </c>
      <c r="G634" s="41">
        <v>69.469499999999996</v>
      </c>
      <c r="H634" s="41">
        <v>138.93899999999999</v>
      </c>
    </row>
    <row r="635" spans="2:8" ht="15">
      <c r="B635" s="38">
        <v>4823114080913</v>
      </c>
      <c r="C635" s="38" t="s">
        <v>121</v>
      </c>
      <c r="D635" s="38">
        <v>149424</v>
      </c>
      <c r="E635" s="39" t="s">
        <v>122</v>
      </c>
      <c r="F635" s="40" t="s">
        <v>16</v>
      </c>
      <c r="G635" s="41">
        <v>140.9545</v>
      </c>
      <c r="H635" s="41">
        <v>281.90899999999999</v>
      </c>
    </row>
    <row r="636" spans="2:8" ht="15">
      <c r="B636" s="38">
        <v>4823114080685</v>
      </c>
      <c r="C636" s="38" t="s">
        <v>123</v>
      </c>
      <c r="D636" s="38">
        <v>142681</v>
      </c>
      <c r="E636" s="39" t="s">
        <v>122</v>
      </c>
      <c r="F636" s="40" t="s">
        <v>19</v>
      </c>
      <c r="G636" s="41">
        <v>140.9545</v>
      </c>
      <c r="H636" s="41">
        <v>281.90899999999999</v>
      </c>
    </row>
    <row r="637" spans="2:8" ht="15">
      <c r="B637" s="38">
        <v>4823114077210</v>
      </c>
      <c r="C637" s="38" t="s">
        <v>150</v>
      </c>
      <c r="D637" s="38">
        <v>139675</v>
      </c>
      <c r="E637" s="39" t="s">
        <v>151</v>
      </c>
      <c r="F637" s="40" t="s">
        <v>16</v>
      </c>
      <c r="G637" s="41">
        <v>104.45800000000001</v>
      </c>
      <c r="H637" s="41">
        <v>208.91600000000003</v>
      </c>
    </row>
    <row r="638" spans="2:8" ht="15">
      <c r="B638" s="38">
        <v>4823114077227</v>
      </c>
      <c r="C638" s="38" t="s">
        <v>152</v>
      </c>
      <c r="D638" s="38">
        <v>139676</v>
      </c>
      <c r="E638" s="39" t="s">
        <v>151</v>
      </c>
      <c r="F638" s="40" t="s">
        <v>19</v>
      </c>
      <c r="G638" s="41">
        <v>104.45800000000001</v>
      </c>
      <c r="H638" s="41">
        <v>208.91600000000003</v>
      </c>
    </row>
    <row r="639" spans="2:8" ht="15">
      <c r="B639" s="38">
        <v>4823114081002</v>
      </c>
      <c r="C639" s="38" t="s">
        <v>153</v>
      </c>
      <c r="D639" s="38">
        <v>149673</v>
      </c>
      <c r="E639" s="39" t="s">
        <v>154</v>
      </c>
      <c r="F639" s="40" t="s">
        <v>16</v>
      </c>
      <c r="G639" s="41">
        <v>227.65</v>
      </c>
      <c r="H639" s="41">
        <v>455.3</v>
      </c>
    </row>
    <row r="640" spans="2:8" ht="15">
      <c r="B640" s="38">
        <v>4823114080999</v>
      </c>
      <c r="C640" s="38" t="s">
        <v>155</v>
      </c>
      <c r="D640" s="38">
        <v>149672</v>
      </c>
      <c r="E640" s="39" t="s">
        <v>154</v>
      </c>
      <c r="F640" s="40" t="s">
        <v>19</v>
      </c>
      <c r="G640" s="41">
        <v>227.65</v>
      </c>
      <c r="H640" s="41">
        <v>455.3</v>
      </c>
    </row>
    <row r="641" spans="2:8" ht="15">
      <c r="B641" s="38">
        <v>4823114077388</v>
      </c>
      <c r="C641" s="38" t="s">
        <v>178</v>
      </c>
      <c r="D641" s="38">
        <v>140412</v>
      </c>
      <c r="E641" s="39" t="s">
        <v>179</v>
      </c>
      <c r="F641" s="40" t="s">
        <v>16</v>
      </c>
      <c r="G641" s="41">
        <v>52.214499999999994</v>
      </c>
      <c r="H641" s="41">
        <v>104.42899999999999</v>
      </c>
    </row>
    <row r="642" spans="2:8" ht="15">
      <c r="B642" s="38">
        <v>4823114077395</v>
      </c>
      <c r="C642" s="38" t="s">
        <v>180</v>
      </c>
      <c r="D642" s="38">
        <v>140411</v>
      </c>
      <c r="E642" s="39" t="s">
        <v>179</v>
      </c>
      <c r="F642" s="40" t="s">
        <v>19</v>
      </c>
      <c r="G642" s="41">
        <v>52.214499999999994</v>
      </c>
      <c r="H642" s="41">
        <v>104.42899999999999</v>
      </c>
    </row>
    <row r="643" spans="2:8" ht="15">
      <c r="B643" s="38">
        <v>4823114076831</v>
      </c>
      <c r="C643" s="38" t="s">
        <v>181</v>
      </c>
      <c r="D643" s="38">
        <v>137750</v>
      </c>
      <c r="E643" s="39" t="s">
        <v>182</v>
      </c>
      <c r="F643" s="40" t="s">
        <v>16</v>
      </c>
      <c r="G643" s="41">
        <v>151.97450000000001</v>
      </c>
      <c r="H643" s="41">
        <v>303.94900000000001</v>
      </c>
    </row>
    <row r="644" spans="2:8" ht="15">
      <c r="B644" s="38">
        <v>4823114076824</v>
      </c>
      <c r="C644" s="38" t="s">
        <v>183</v>
      </c>
      <c r="D644" s="38">
        <v>137749</v>
      </c>
      <c r="E644" s="39" t="s">
        <v>182</v>
      </c>
      <c r="F644" s="40" t="s">
        <v>19</v>
      </c>
      <c r="G644" s="41">
        <v>151.97450000000001</v>
      </c>
      <c r="H644" s="41">
        <v>303.94900000000001</v>
      </c>
    </row>
    <row r="645" spans="2:8" ht="15">
      <c r="B645" s="38">
        <v>4823114076992</v>
      </c>
      <c r="C645" s="38" t="s">
        <v>185</v>
      </c>
      <c r="D645" s="38">
        <v>138643</v>
      </c>
      <c r="E645" s="73" t="s">
        <v>186</v>
      </c>
      <c r="F645" s="40" t="s">
        <v>16</v>
      </c>
      <c r="G645" s="47">
        <v>22.852</v>
      </c>
      <c r="H645" s="47">
        <v>45.704000000000001</v>
      </c>
    </row>
    <row r="646" spans="2:8" ht="15">
      <c r="B646" s="38">
        <v>4823114076985</v>
      </c>
      <c r="C646" s="38" t="s">
        <v>187</v>
      </c>
      <c r="D646" s="38">
        <v>138642</v>
      </c>
      <c r="E646" s="73" t="s">
        <v>186</v>
      </c>
      <c r="F646" s="40" t="s">
        <v>19</v>
      </c>
      <c r="G646" s="47">
        <v>22.852</v>
      </c>
      <c r="H646" s="47">
        <v>45.704000000000001</v>
      </c>
    </row>
    <row r="647" spans="2:8" ht="15">
      <c r="B647" s="38">
        <v>4823114076534</v>
      </c>
      <c r="C647" s="38" t="s">
        <v>198</v>
      </c>
      <c r="D647" s="38">
        <v>135261</v>
      </c>
      <c r="E647" s="39" t="s">
        <v>199</v>
      </c>
      <c r="F647" s="40" t="s">
        <v>16</v>
      </c>
      <c r="G647" s="41">
        <v>130.5</v>
      </c>
      <c r="H647" s="41">
        <v>261</v>
      </c>
    </row>
    <row r="648" spans="2:8" ht="15">
      <c r="B648" s="38">
        <v>4823114076541</v>
      </c>
      <c r="C648" s="38" t="s">
        <v>200</v>
      </c>
      <c r="D648" s="38">
        <v>135262</v>
      </c>
      <c r="E648" s="39" t="s">
        <v>199</v>
      </c>
      <c r="F648" s="40" t="s">
        <v>19</v>
      </c>
      <c r="G648" s="41">
        <v>130.5</v>
      </c>
      <c r="H648" s="41">
        <v>261</v>
      </c>
    </row>
    <row r="649" spans="2:8" ht="15">
      <c r="B649" s="38">
        <v>4823114078170</v>
      </c>
      <c r="C649" s="38" t="s">
        <v>201</v>
      </c>
      <c r="D649" s="38">
        <v>142171</v>
      </c>
      <c r="E649" s="39" t="s">
        <v>202</v>
      </c>
      <c r="F649" s="40" t="s">
        <v>25</v>
      </c>
      <c r="G649" s="41">
        <v>107.3</v>
      </c>
      <c r="H649" s="41">
        <v>214.6</v>
      </c>
    </row>
    <row r="650" spans="2:8" ht="15">
      <c r="B650" s="108"/>
      <c r="C650" s="38" t="s">
        <v>231</v>
      </c>
      <c r="D650" s="38">
        <v>152252</v>
      </c>
      <c r="E650" s="109" t="s">
        <v>232</v>
      </c>
      <c r="F650" s="46" t="s">
        <v>16</v>
      </c>
      <c r="G650" s="47">
        <v>125.61</v>
      </c>
      <c r="H650" s="47">
        <v>251.22</v>
      </c>
    </row>
    <row r="651" spans="2:8" ht="15">
      <c r="B651" s="108"/>
      <c r="C651" s="38" t="s">
        <v>234</v>
      </c>
      <c r="D651" s="38">
        <v>152251</v>
      </c>
      <c r="E651" s="109" t="s">
        <v>232</v>
      </c>
      <c r="F651" s="46" t="s">
        <v>19</v>
      </c>
      <c r="G651" s="47">
        <v>125.61</v>
      </c>
      <c r="H651" s="47">
        <v>251.22</v>
      </c>
    </row>
    <row r="652" spans="2:8" ht="15">
      <c r="B652" s="38">
        <v>4823114080128</v>
      </c>
      <c r="C652" s="38" t="s">
        <v>307</v>
      </c>
      <c r="D652" s="38">
        <v>142717</v>
      </c>
      <c r="E652" s="142" t="s">
        <v>308</v>
      </c>
      <c r="F652" s="46" t="s">
        <v>19</v>
      </c>
      <c r="G652" s="47">
        <v>235.55</v>
      </c>
      <c r="H652" s="47">
        <v>471.1</v>
      </c>
    </row>
    <row r="653" spans="2:8" ht="15">
      <c r="B653" s="38">
        <v>4823114078217</v>
      </c>
      <c r="C653" s="38" t="s">
        <v>411</v>
      </c>
      <c r="D653" s="38">
        <v>132037</v>
      </c>
      <c r="E653" s="39" t="s">
        <v>417</v>
      </c>
      <c r="F653" s="42" t="s">
        <v>413</v>
      </c>
      <c r="G653" s="47">
        <v>81.14</v>
      </c>
      <c r="H653" s="47">
        <v>162.28</v>
      </c>
    </row>
    <row r="654" spans="2:8" ht="15">
      <c r="B654" s="38">
        <v>4823114076459</v>
      </c>
      <c r="C654" s="292" t="s">
        <v>419</v>
      </c>
      <c r="D654" s="38">
        <v>135569</v>
      </c>
      <c r="E654" s="39" t="s">
        <v>420</v>
      </c>
      <c r="F654" s="40" t="s">
        <v>16</v>
      </c>
      <c r="G654" s="174">
        <v>293.08949999999999</v>
      </c>
      <c r="H654" s="174">
        <v>586.17899999999997</v>
      </c>
    </row>
    <row r="655" spans="2:8" ht="15">
      <c r="B655" s="38">
        <v>4823114076466</v>
      </c>
      <c r="C655" s="38" t="s">
        <v>421</v>
      </c>
      <c r="D655" s="38">
        <v>135570</v>
      </c>
      <c r="E655" s="39" t="s">
        <v>420</v>
      </c>
      <c r="F655" s="40" t="s">
        <v>19</v>
      </c>
      <c r="G655" s="174">
        <v>293.08949999999999</v>
      </c>
      <c r="H655" s="174">
        <v>586.17899999999997</v>
      </c>
    </row>
    <row r="656" spans="2:8" ht="15">
      <c r="B656" s="38">
        <v>4823114076350</v>
      </c>
      <c r="C656" s="38" t="s">
        <v>422</v>
      </c>
      <c r="D656" s="38">
        <v>135571</v>
      </c>
      <c r="E656" s="39" t="s">
        <v>423</v>
      </c>
      <c r="F656" s="40" t="s">
        <v>16</v>
      </c>
      <c r="G656" s="174">
        <v>374.51100000000002</v>
      </c>
      <c r="H656" s="174">
        <v>749.02200000000005</v>
      </c>
    </row>
    <row r="657" spans="2:8" ht="15">
      <c r="B657" s="38">
        <v>4823114076367</v>
      </c>
      <c r="C657" s="38" t="s">
        <v>424</v>
      </c>
      <c r="D657" s="38">
        <v>135572</v>
      </c>
      <c r="E657" s="39" t="s">
        <v>423</v>
      </c>
      <c r="F657" s="40" t="s">
        <v>19</v>
      </c>
      <c r="G657" s="174">
        <v>374.51100000000002</v>
      </c>
      <c r="H657" s="174">
        <v>749.02200000000005</v>
      </c>
    </row>
    <row r="658" spans="2:8" ht="15">
      <c r="B658" s="38">
        <v>4823114076411</v>
      </c>
      <c r="C658" s="38" t="s">
        <v>425</v>
      </c>
      <c r="D658" s="38">
        <v>135577</v>
      </c>
      <c r="E658" s="39" t="s">
        <v>426</v>
      </c>
      <c r="F658" s="40" t="s">
        <v>16</v>
      </c>
      <c r="G658" s="174">
        <v>293.08949999999999</v>
      </c>
      <c r="H658" s="174">
        <v>586.17899999999997</v>
      </c>
    </row>
    <row r="659" spans="2:8" ht="15">
      <c r="B659" s="38">
        <v>4823114076428</v>
      </c>
      <c r="C659" s="38" t="s">
        <v>427</v>
      </c>
      <c r="D659" s="38">
        <v>135578</v>
      </c>
      <c r="E659" s="39" t="s">
        <v>426</v>
      </c>
      <c r="F659" s="40" t="s">
        <v>19</v>
      </c>
      <c r="G659" s="174">
        <v>293.08949999999999</v>
      </c>
      <c r="H659" s="174">
        <v>586.17899999999997</v>
      </c>
    </row>
    <row r="660" spans="2:8" ht="15">
      <c r="B660" s="38">
        <v>4823114076435</v>
      </c>
      <c r="C660" s="38" t="s">
        <v>428</v>
      </c>
      <c r="D660" s="38">
        <v>135579</v>
      </c>
      <c r="E660" s="39" t="s">
        <v>429</v>
      </c>
      <c r="F660" s="40" t="s">
        <v>16</v>
      </c>
      <c r="G660" s="174">
        <v>374.51100000000002</v>
      </c>
      <c r="H660" s="174">
        <v>749.02200000000005</v>
      </c>
    </row>
    <row r="661" spans="2:8" ht="15">
      <c r="B661" s="38">
        <v>4823114076442</v>
      </c>
      <c r="C661" s="38" t="s">
        <v>430</v>
      </c>
      <c r="D661" s="38">
        <v>135580</v>
      </c>
      <c r="E661" s="39" t="s">
        <v>429</v>
      </c>
      <c r="F661" s="40" t="s">
        <v>19</v>
      </c>
      <c r="G661" s="174">
        <v>374.51100000000002</v>
      </c>
      <c r="H661" s="174">
        <v>749.02200000000005</v>
      </c>
    </row>
    <row r="662" spans="2:8" ht="15">
      <c r="B662" s="38">
        <v>4823114076374</v>
      </c>
      <c r="C662" s="38" t="s">
        <v>431</v>
      </c>
      <c r="D662" s="38">
        <v>135573</v>
      </c>
      <c r="E662" s="39" t="s">
        <v>432</v>
      </c>
      <c r="F662" s="40" t="s">
        <v>16</v>
      </c>
      <c r="G662" s="174">
        <v>293.08949999999999</v>
      </c>
      <c r="H662" s="174">
        <v>586.17899999999997</v>
      </c>
    </row>
    <row r="663" spans="2:8" ht="15">
      <c r="B663" s="38">
        <v>4823114076381</v>
      </c>
      <c r="C663" s="38" t="s">
        <v>433</v>
      </c>
      <c r="D663" s="38">
        <v>135574</v>
      </c>
      <c r="E663" s="39" t="s">
        <v>432</v>
      </c>
      <c r="F663" s="40" t="s">
        <v>19</v>
      </c>
      <c r="G663" s="174">
        <v>293.08949999999999</v>
      </c>
      <c r="H663" s="174">
        <v>586.17899999999997</v>
      </c>
    </row>
    <row r="664" spans="2:8" ht="15">
      <c r="B664" s="38">
        <v>4823114076398</v>
      </c>
      <c r="C664" s="38" t="s">
        <v>434</v>
      </c>
      <c r="D664" s="38">
        <v>135575</v>
      </c>
      <c r="E664" s="39" t="s">
        <v>435</v>
      </c>
      <c r="F664" s="40" t="s">
        <v>16</v>
      </c>
      <c r="G664" s="174">
        <v>374.51100000000002</v>
      </c>
      <c r="H664" s="174">
        <v>749.02200000000005</v>
      </c>
    </row>
    <row r="665" spans="2:8" ht="15">
      <c r="B665" s="38">
        <v>4823114076404</v>
      </c>
      <c r="C665" s="38" t="s">
        <v>436</v>
      </c>
      <c r="D665" s="38">
        <v>135576</v>
      </c>
      <c r="E665" s="39" t="s">
        <v>435</v>
      </c>
      <c r="F665" s="40" t="s">
        <v>19</v>
      </c>
      <c r="G665" s="174">
        <v>374.51100000000002</v>
      </c>
      <c r="H665" s="174">
        <v>749.02200000000005</v>
      </c>
    </row>
    <row r="666" spans="2:8" ht="15">
      <c r="B666" s="38"/>
      <c r="C666" s="38" t="s">
        <v>438</v>
      </c>
      <c r="D666" s="38">
        <v>141567</v>
      </c>
      <c r="E666" s="39" t="s">
        <v>439</v>
      </c>
      <c r="F666" s="40" t="s">
        <v>16</v>
      </c>
      <c r="G666" s="174">
        <v>232.029</v>
      </c>
      <c r="H666" s="174">
        <v>464.05799999999999</v>
      </c>
    </row>
    <row r="667" spans="2:8" ht="15">
      <c r="B667" s="38"/>
      <c r="C667" s="38" t="s">
        <v>440</v>
      </c>
      <c r="D667" s="38">
        <v>140919</v>
      </c>
      <c r="E667" s="39" t="s">
        <v>439</v>
      </c>
      <c r="F667" s="40" t="s">
        <v>19</v>
      </c>
      <c r="G667" s="174">
        <v>232.029</v>
      </c>
      <c r="H667" s="174">
        <v>464.05799999999999</v>
      </c>
    </row>
    <row r="668" spans="2:8" ht="15">
      <c r="B668" s="38"/>
      <c r="C668" s="38" t="s">
        <v>441</v>
      </c>
      <c r="D668" s="38">
        <v>140920</v>
      </c>
      <c r="E668" s="39" t="s">
        <v>442</v>
      </c>
      <c r="F668" s="40" t="s">
        <v>16</v>
      </c>
      <c r="G668" s="174">
        <v>357.13499999999999</v>
      </c>
      <c r="H668" s="174">
        <v>714.27</v>
      </c>
    </row>
    <row r="669" spans="2:8" ht="15">
      <c r="B669" s="38"/>
      <c r="C669" s="38" t="s">
        <v>443</v>
      </c>
      <c r="D669" s="38">
        <v>140921</v>
      </c>
      <c r="E669" s="39" t="s">
        <v>442</v>
      </c>
      <c r="F669" s="40" t="s">
        <v>19</v>
      </c>
      <c r="G669" s="174">
        <v>357.13499999999999</v>
      </c>
      <c r="H669" s="174">
        <v>714.27</v>
      </c>
    </row>
    <row r="670" spans="2:8" ht="15">
      <c r="B670" s="38"/>
      <c r="C670" s="38" t="s">
        <v>444</v>
      </c>
      <c r="D670" s="38">
        <v>140922</v>
      </c>
      <c r="E670" s="39" t="s">
        <v>445</v>
      </c>
      <c r="F670" s="40" t="s">
        <v>16</v>
      </c>
      <c r="G670" s="174">
        <v>482.1395</v>
      </c>
      <c r="H670" s="174">
        <v>964.279</v>
      </c>
    </row>
    <row r="671" spans="2:8" ht="15">
      <c r="B671" s="38"/>
      <c r="C671" s="38" t="s">
        <v>446</v>
      </c>
      <c r="D671" s="38">
        <v>140923</v>
      </c>
      <c r="E671" s="39" t="s">
        <v>445</v>
      </c>
      <c r="F671" s="40" t="s">
        <v>19</v>
      </c>
      <c r="G671" s="174">
        <v>482.1395</v>
      </c>
      <c r="H671" s="174">
        <v>964.279</v>
      </c>
    </row>
    <row r="672" spans="2:8" ht="15">
      <c r="B672" s="38"/>
      <c r="C672" s="38" t="s">
        <v>447</v>
      </c>
      <c r="D672" s="38">
        <v>140924</v>
      </c>
      <c r="E672" s="39" t="s">
        <v>448</v>
      </c>
      <c r="F672" s="40" t="s">
        <v>16</v>
      </c>
      <c r="G672" s="174">
        <v>295.82900000000001</v>
      </c>
      <c r="H672" s="174">
        <v>591.65800000000002</v>
      </c>
    </row>
    <row r="673" spans="2:8" ht="15">
      <c r="B673" s="38"/>
      <c r="C673" s="38" t="s">
        <v>449</v>
      </c>
      <c r="D673" s="38">
        <v>140925</v>
      </c>
      <c r="E673" s="39" t="s">
        <v>448</v>
      </c>
      <c r="F673" s="40" t="s">
        <v>19</v>
      </c>
      <c r="G673" s="174">
        <v>295.82900000000001</v>
      </c>
      <c r="H673" s="174">
        <v>591.65800000000002</v>
      </c>
    </row>
    <row r="674" spans="2:8" ht="15">
      <c r="B674" s="38"/>
      <c r="C674" s="38" t="s">
        <v>450</v>
      </c>
      <c r="D674" s="38">
        <v>140926</v>
      </c>
      <c r="E674" s="39" t="s">
        <v>451</v>
      </c>
      <c r="F674" s="40" t="s">
        <v>16</v>
      </c>
      <c r="G674" s="174">
        <v>420.935</v>
      </c>
      <c r="H674" s="174">
        <v>841.87</v>
      </c>
    </row>
    <row r="675" spans="2:8" ht="15">
      <c r="B675" s="38"/>
      <c r="C675" s="38" t="s">
        <v>452</v>
      </c>
      <c r="D675" s="38">
        <v>140927</v>
      </c>
      <c r="E675" s="39" t="s">
        <v>451</v>
      </c>
      <c r="F675" s="40" t="s">
        <v>19</v>
      </c>
      <c r="G675" s="174">
        <v>420.935</v>
      </c>
      <c r="H675" s="174">
        <v>841.87</v>
      </c>
    </row>
    <row r="676" spans="2:8" ht="15">
      <c r="B676" s="38">
        <v>4823114082443</v>
      </c>
      <c r="C676" s="38" t="s">
        <v>453</v>
      </c>
      <c r="D676" s="38">
        <v>140928</v>
      </c>
      <c r="E676" s="39" t="s">
        <v>454</v>
      </c>
      <c r="F676" s="40" t="s">
        <v>16</v>
      </c>
      <c r="G676" s="174">
        <v>484.73500000000001</v>
      </c>
      <c r="H676" s="174">
        <v>969.47</v>
      </c>
    </row>
    <row r="677" spans="2:8" ht="15">
      <c r="B677" s="38">
        <v>4823114082450</v>
      </c>
      <c r="C677" s="38" t="s">
        <v>455</v>
      </c>
      <c r="D677" s="38">
        <v>140929</v>
      </c>
      <c r="E677" s="39" t="s">
        <v>454</v>
      </c>
      <c r="F677" s="40" t="s">
        <v>19</v>
      </c>
      <c r="G677" s="174">
        <v>484.73500000000001</v>
      </c>
      <c r="H677" s="174">
        <v>969.47</v>
      </c>
    </row>
    <row r="678" spans="2:8" ht="15">
      <c r="B678" s="38">
        <v>4823114082467</v>
      </c>
      <c r="C678" s="38" t="s">
        <v>456</v>
      </c>
      <c r="D678" s="38">
        <v>140930</v>
      </c>
      <c r="E678" s="39" t="s">
        <v>457</v>
      </c>
      <c r="F678" s="40" t="s">
        <v>16</v>
      </c>
      <c r="G678" s="174">
        <v>654.39949999999999</v>
      </c>
      <c r="H678" s="174">
        <v>1308.799</v>
      </c>
    </row>
    <row r="679" spans="2:8" ht="15">
      <c r="B679" s="38">
        <v>4823114082474</v>
      </c>
      <c r="C679" s="38" t="s">
        <v>458</v>
      </c>
      <c r="D679" s="38">
        <v>140931</v>
      </c>
      <c r="E679" s="39" t="s">
        <v>457</v>
      </c>
      <c r="F679" s="40" t="s">
        <v>19</v>
      </c>
      <c r="G679" s="174">
        <v>654.39949999999999</v>
      </c>
      <c r="H679" s="174">
        <v>1308.799</v>
      </c>
    </row>
    <row r="680" spans="2:8" ht="15">
      <c r="B680" s="38">
        <v>4823114073137</v>
      </c>
      <c r="C680" s="38" t="s">
        <v>543</v>
      </c>
      <c r="D680" s="38">
        <v>126276</v>
      </c>
      <c r="E680" s="39" t="s">
        <v>544</v>
      </c>
      <c r="F680" s="40" t="s">
        <v>16</v>
      </c>
      <c r="G680" s="174">
        <v>211.68350000000001</v>
      </c>
      <c r="H680" s="174">
        <v>423.36700000000002</v>
      </c>
    </row>
    <row r="681" spans="2:8" ht="15">
      <c r="B681" s="38">
        <v>4823114073144</v>
      </c>
      <c r="C681" s="38" t="s">
        <v>545</v>
      </c>
      <c r="D681" s="38">
        <v>126277</v>
      </c>
      <c r="E681" s="39" t="s">
        <v>544</v>
      </c>
      <c r="F681" s="40" t="s">
        <v>19</v>
      </c>
      <c r="G681" s="174">
        <v>211.68350000000001</v>
      </c>
      <c r="H681" s="174">
        <v>423.36700000000002</v>
      </c>
    </row>
    <row r="682" spans="2:8" ht="15">
      <c r="B682" s="38">
        <v>4823114073151</v>
      </c>
      <c r="C682" s="38" t="s">
        <v>546</v>
      </c>
      <c r="D682" s="38">
        <v>126278</v>
      </c>
      <c r="E682" s="39" t="s">
        <v>547</v>
      </c>
      <c r="F682" s="40" t="s">
        <v>16</v>
      </c>
      <c r="G682" s="174">
        <v>293.08949999999999</v>
      </c>
      <c r="H682" s="174">
        <v>586.17899999999997</v>
      </c>
    </row>
    <row r="683" spans="2:8" ht="15">
      <c r="B683" s="38">
        <v>4823114073168</v>
      </c>
      <c r="C683" s="38" t="s">
        <v>548</v>
      </c>
      <c r="D683" s="38">
        <v>126279</v>
      </c>
      <c r="E683" s="39" t="s">
        <v>547</v>
      </c>
      <c r="F683" s="40" t="s">
        <v>19</v>
      </c>
      <c r="G683" s="174">
        <v>293.08949999999999</v>
      </c>
      <c r="H683" s="174">
        <v>586.17899999999997</v>
      </c>
    </row>
    <row r="684" spans="2:8" ht="15">
      <c r="B684" s="38">
        <v>4823114073212</v>
      </c>
      <c r="C684" s="38" t="s">
        <v>549</v>
      </c>
      <c r="D684" s="38">
        <v>126284</v>
      </c>
      <c r="E684" s="39" t="s">
        <v>550</v>
      </c>
      <c r="F684" s="40" t="s">
        <v>16</v>
      </c>
      <c r="G684" s="174">
        <v>211.68350000000001</v>
      </c>
      <c r="H684" s="174">
        <v>423.36700000000002</v>
      </c>
    </row>
    <row r="685" spans="2:8" ht="15">
      <c r="B685" s="38">
        <v>4823114073229</v>
      </c>
      <c r="C685" s="38" t="s">
        <v>551</v>
      </c>
      <c r="D685" s="38">
        <v>126285</v>
      </c>
      <c r="E685" s="39" t="s">
        <v>550</v>
      </c>
      <c r="F685" s="40" t="s">
        <v>19</v>
      </c>
      <c r="G685" s="174">
        <v>211.68350000000001</v>
      </c>
      <c r="H685" s="174">
        <v>423.36700000000002</v>
      </c>
    </row>
    <row r="686" spans="2:8" ht="15">
      <c r="B686" s="38">
        <v>4823114073236</v>
      </c>
      <c r="C686" s="38" t="s">
        <v>552</v>
      </c>
      <c r="D686" s="38">
        <v>126286</v>
      </c>
      <c r="E686" s="39" t="s">
        <v>553</v>
      </c>
      <c r="F686" s="40" t="s">
        <v>16</v>
      </c>
      <c r="G686" s="174">
        <v>293.08949999999999</v>
      </c>
      <c r="H686" s="174">
        <v>586.17899999999997</v>
      </c>
    </row>
    <row r="687" spans="2:8" ht="15">
      <c r="B687" s="38">
        <v>4823114073243</v>
      </c>
      <c r="C687" s="38" t="s">
        <v>554</v>
      </c>
      <c r="D687" s="38">
        <v>126287</v>
      </c>
      <c r="E687" s="39" t="s">
        <v>553</v>
      </c>
      <c r="F687" s="40" t="s">
        <v>19</v>
      </c>
      <c r="G687" s="174">
        <v>293.08949999999999</v>
      </c>
      <c r="H687" s="174">
        <v>586.17899999999997</v>
      </c>
    </row>
    <row r="688" spans="2:8" ht="15">
      <c r="B688" s="38">
        <v>4823114073175</v>
      </c>
      <c r="C688" s="38" t="s">
        <v>555</v>
      </c>
      <c r="D688" s="38">
        <v>126280</v>
      </c>
      <c r="E688" s="39" t="s">
        <v>556</v>
      </c>
      <c r="F688" s="40" t="s">
        <v>16</v>
      </c>
      <c r="G688" s="174">
        <v>211.68350000000001</v>
      </c>
      <c r="H688" s="174">
        <v>423.36700000000002</v>
      </c>
    </row>
    <row r="689" spans="2:8" ht="15">
      <c r="B689" s="38">
        <v>4823114073182</v>
      </c>
      <c r="C689" s="38" t="s">
        <v>557</v>
      </c>
      <c r="D689" s="38">
        <v>126281</v>
      </c>
      <c r="E689" s="39" t="s">
        <v>556</v>
      </c>
      <c r="F689" s="40" t="s">
        <v>19</v>
      </c>
      <c r="G689" s="174">
        <v>211.68350000000001</v>
      </c>
      <c r="H689" s="174">
        <v>423.36700000000002</v>
      </c>
    </row>
    <row r="690" spans="2:8" ht="15">
      <c r="B690" s="38">
        <v>4823114073199</v>
      </c>
      <c r="C690" s="38" t="s">
        <v>558</v>
      </c>
      <c r="D690" s="38">
        <v>126282</v>
      </c>
      <c r="E690" s="39" t="s">
        <v>559</v>
      </c>
      <c r="F690" s="40" t="s">
        <v>16</v>
      </c>
      <c r="G690" s="174">
        <v>293.08949999999999</v>
      </c>
      <c r="H690" s="174">
        <v>586.17899999999997</v>
      </c>
    </row>
    <row r="691" spans="2:8" ht="15">
      <c r="B691" s="38">
        <v>4823114073205</v>
      </c>
      <c r="C691" s="38" t="s">
        <v>560</v>
      </c>
      <c r="D691" s="38">
        <v>126283</v>
      </c>
      <c r="E691" s="39" t="s">
        <v>559</v>
      </c>
      <c r="F691" s="40" t="s">
        <v>19</v>
      </c>
      <c r="G691" s="174">
        <v>293.08949999999999</v>
      </c>
      <c r="H691" s="174">
        <v>586.17899999999997</v>
      </c>
    </row>
    <row r="692" spans="2:8" ht="15">
      <c r="B692" s="38">
        <v>4823114080692</v>
      </c>
      <c r="C692" s="38" t="s">
        <v>566</v>
      </c>
      <c r="D692" s="121">
        <f ca="1">IFERROR(__xludf.DUMMYFUNCTION("VLOOKUP(SPLIT(C692,"".""),SPLIT(C692,"".""),1)"),168235)</f>
        <v>168235</v>
      </c>
      <c r="E692" s="173" t="s">
        <v>567</v>
      </c>
      <c r="F692" s="40" t="s">
        <v>16</v>
      </c>
      <c r="G692" s="293">
        <v>31.986999999999998</v>
      </c>
      <c r="H692" s="293">
        <v>63.973999999999997</v>
      </c>
    </row>
    <row r="693" spans="2:8" ht="15">
      <c r="B693" s="38">
        <v>4823114080708</v>
      </c>
      <c r="C693" s="38" t="s">
        <v>568</v>
      </c>
      <c r="D693" s="121">
        <f ca="1">IFERROR(__xludf.DUMMYFUNCTION("VLOOKUP(SPLIT(C693,"".""),SPLIT(C693,"".""),1)"),168234)</f>
        <v>168234</v>
      </c>
      <c r="E693" s="173" t="s">
        <v>567</v>
      </c>
      <c r="F693" s="40" t="s">
        <v>19</v>
      </c>
      <c r="G693" s="293">
        <v>31.986999999999998</v>
      </c>
      <c r="H693" s="293">
        <v>63.973999999999997</v>
      </c>
    </row>
    <row r="694" spans="2:8" ht="15">
      <c r="B694" s="38">
        <v>4823114080715</v>
      </c>
      <c r="C694" s="38" t="s">
        <v>569</v>
      </c>
      <c r="D694" s="121">
        <f ca="1">IFERROR(__xludf.DUMMYFUNCTION("VLOOKUP(SPLIT(C694,"".""),SPLIT(C694,"".""),1)"),168237)</f>
        <v>168237</v>
      </c>
      <c r="E694" s="173" t="s">
        <v>570</v>
      </c>
      <c r="F694" s="40" t="s">
        <v>16</v>
      </c>
      <c r="G694" s="293">
        <v>42.644500000000001</v>
      </c>
      <c r="H694" s="293">
        <v>85.289000000000001</v>
      </c>
    </row>
    <row r="695" spans="2:8" ht="15">
      <c r="B695" s="38">
        <v>4823114080722</v>
      </c>
      <c r="C695" s="38" t="s">
        <v>571</v>
      </c>
      <c r="D695" s="121">
        <f ca="1">IFERROR(__xludf.DUMMYFUNCTION("VLOOKUP(SPLIT(C695,"".""),SPLIT(C695,"".""),1)"),168236)</f>
        <v>168236</v>
      </c>
      <c r="E695" s="173" t="s">
        <v>570</v>
      </c>
      <c r="F695" s="40" t="s">
        <v>19</v>
      </c>
      <c r="G695" s="293">
        <v>42.644500000000001</v>
      </c>
      <c r="H695" s="293">
        <v>85.289000000000001</v>
      </c>
    </row>
    <row r="696" spans="2:8" ht="15">
      <c r="B696" s="38">
        <v>4823114080739</v>
      </c>
      <c r="C696" s="38" t="s">
        <v>572</v>
      </c>
      <c r="D696" s="121">
        <f ca="1">IFERROR(__xludf.DUMMYFUNCTION("VLOOKUP(SPLIT(C696,"".""),SPLIT(C696,"".""),1)"),168239)</f>
        <v>168239</v>
      </c>
      <c r="E696" s="173" t="s">
        <v>573</v>
      </c>
      <c r="F696" s="40" t="s">
        <v>16</v>
      </c>
      <c r="G696" s="293">
        <v>45.704000000000001</v>
      </c>
      <c r="H696" s="293">
        <v>91.408000000000001</v>
      </c>
    </row>
    <row r="697" spans="2:8" ht="15">
      <c r="B697" s="38">
        <v>4823114080746</v>
      </c>
      <c r="C697" s="38" t="s">
        <v>574</v>
      </c>
      <c r="D697" s="121">
        <f ca="1">IFERROR(__xludf.DUMMYFUNCTION("VLOOKUP(SPLIT(C697,"".""),SPLIT(C697,"".""),1)"),168238)</f>
        <v>168238</v>
      </c>
      <c r="E697" s="173" t="s">
        <v>573</v>
      </c>
      <c r="F697" s="40" t="s">
        <v>19</v>
      </c>
      <c r="G697" s="293">
        <v>45.704000000000001</v>
      </c>
      <c r="H697" s="293">
        <v>91.408000000000001</v>
      </c>
    </row>
    <row r="698" spans="2:8" ht="15">
      <c r="B698" s="38">
        <v>4823114080753</v>
      </c>
      <c r="C698" s="38" t="s">
        <v>575</v>
      </c>
      <c r="D698" s="121">
        <f ca="1">IFERROR(__xludf.DUMMYFUNCTION("VLOOKUP(SPLIT(C698,"".""),SPLIT(C698,"".""),1)"),168241)</f>
        <v>168241</v>
      </c>
      <c r="E698" s="173" t="s">
        <v>576</v>
      </c>
      <c r="F698" s="40" t="s">
        <v>16</v>
      </c>
      <c r="G698" s="293">
        <v>56.361499999999992</v>
      </c>
      <c r="H698" s="293">
        <v>112.72299999999998</v>
      </c>
    </row>
    <row r="699" spans="2:8" ht="15">
      <c r="B699" s="38">
        <v>4823114080760</v>
      </c>
      <c r="C699" s="38" t="s">
        <v>577</v>
      </c>
      <c r="D699" s="121">
        <f ca="1">IFERROR(__xludf.DUMMYFUNCTION("VLOOKUP(SPLIT(C699,"".""),SPLIT(C699,"".""),1)"),168240)</f>
        <v>168240</v>
      </c>
      <c r="E699" s="173" t="s">
        <v>576</v>
      </c>
      <c r="F699" s="40" t="s">
        <v>19</v>
      </c>
      <c r="G699" s="293">
        <v>56.361499999999992</v>
      </c>
      <c r="H699" s="293">
        <v>112.72299999999998</v>
      </c>
    </row>
    <row r="700" spans="2:8" ht="15">
      <c r="B700" s="38"/>
      <c r="C700" s="38" t="s">
        <v>602</v>
      </c>
      <c r="D700" s="38">
        <v>140908</v>
      </c>
      <c r="E700" s="39" t="s">
        <v>603</v>
      </c>
      <c r="F700" s="40" t="s">
        <v>16</v>
      </c>
      <c r="G700" s="174">
        <v>205.262</v>
      </c>
      <c r="H700" s="174">
        <v>410.524</v>
      </c>
    </row>
    <row r="701" spans="2:8" ht="15">
      <c r="B701" s="38"/>
      <c r="C701" s="38" t="s">
        <v>604</v>
      </c>
      <c r="D701" s="38">
        <v>140909</v>
      </c>
      <c r="E701" s="39" t="s">
        <v>603</v>
      </c>
      <c r="F701" s="40" t="s">
        <v>19</v>
      </c>
      <c r="G701" s="174">
        <v>205.262</v>
      </c>
      <c r="H701" s="174">
        <v>410.524</v>
      </c>
    </row>
    <row r="702" spans="2:8" ht="15">
      <c r="B702" s="38"/>
      <c r="C702" s="38" t="s">
        <v>605</v>
      </c>
      <c r="D702" s="38">
        <v>140910</v>
      </c>
      <c r="E702" s="39" t="s">
        <v>606</v>
      </c>
      <c r="F702" s="40" t="s">
        <v>16</v>
      </c>
      <c r="G702" s="174">
        <v>315.92599999999999</v>
      </c>
      <c r="H702" s="174">
        <v>631.85199999999998</v>
      </c>
    </row>
    <row r="703" spans="2:8" ht="15">
      <c r="B703" s="38"/>
      <c r="C703" s="38" t="s">
        <v>607</v>
      </c>
      <c r="D703" s="38">
        <v>140911</v>
      </c>
      <c r="E703" s="39" t="s">
        <v>606</v>
      </c>
      <c r="F703" s="40" t="s">
        <v>19</v>
      </c>
      <c r="G703" s="174">
        <v>315.92599999999999</v>
      </c>
      <c r="H703" s="174">
        <v>631.85199999999998</v>
      </c>
    </row>
    <row r="704" spans="2:8" ht="15">
      <c r="B704" s="38"/>
      <c r="C704" s="38" t="s">
        <v>608</v>
      </c>
      <c r="D704" s="38">
        <v>140912</v>
      </c>
      <c r="E704" s="39" t="s">
        <v>609</v>
      </c>
      <c r="F704" s="40" t="s">
        <v>16</v>
      </c>
      <c r="G704" s="174">
        <v>269.06200000000001</v>
      </c>
      <c r="H704" s="174">
        <v>538.12400000000002</v>
      </c>
    </row>
    <row r="705" spans="2:8" ht="15">
      <c r="B705" s="38"/>
      <c r="C705" s="38" t="s">
        <v>610</v>
      </c>
      <c r="D705" s="38">
        <v>140913</v>
      </c>
      <c r="E705" s="39" t="s">
        <v>609</v>
      </c>
      <c r="F705" s="40" t="s">
        <v>19</v>
      </c>
      <c r="G705" s="174">
        <v>269.06200000000001</v>
      </c>
      <c r="H705" s="174">
        <v>538.12400000000002</v>
      </c>
    </row>
    <row r="706" spans="2:8" ht="15">
      <c r="B706" s="38"/>
      <c r="C706" s="38" t="s">
        <v>611</v>
      </c>
      <c r="D706" s="38">
        <v>140914</v>
      </c>
      <c r="E706" s="39" t="s">
        <v>612</v>
      </c>
      <c r="F706" s="40" t="s">
        <v>16</v>
      </c>
      <c r="G706" s="174">
        <v>379.726</v>
      </c>
      <c r="H706" s="174">
        <v>759.452</v>
      </c>
    </row>
    <row r="707" spans="2:8" ht="15">
      <c r="B707" s="38"/>
      <c r="C707" s="38" t="s">
        <v>613</v>
      </c>
      <c r="D707" s="38">
        <v>140915</v>
      </c>
      <c r="E707" s="39" t="s">
        <v>612</v>
      </c>
      <c r="F707" s="40" t="s">
        <v>19</v>
      </c>
      <c r="G707" s="174">
        <v>379.726</v>
      </c>
      <c r="H707" s="174">
        <v>759.452</v>
      </c>
    </row>
    <row r="708" spans="2:8" ht="15">
      <c r="B708" s="38"/>
      <c r="C708" s="38" t="s">
        <v>614</v>
      </c>
      <c r="D708" s="38">
        <v>140916</v>
      </c>
      <c r="E708" s="39" t="s">
        <v>615</v>
      </c>
      <c r="F708" s="40" t="s">
        <v>16</v>
      </c>
      <c r="G708" s="174">
        <v>443.52599999999995</v>
      </c>
      <c r="H708" s="174">
        <v>887.05199999999991</v>
      </c>
    </row>
    <row r="709" spans="2:8" ht="15">
      <c r="B709" s="38"/>
      <c r="C709" s="38" t="s">
        <v>616</v>
      </c>
      <c r="D709" s="38">
        <v>140917</v>
      </c>
      <c r="E709" s="39" t="s">
        <v>615</v>
      </c>
      <c r="F709" s="40" t="s">
        <v>19</v>
      </c>
      <c r="G709" s="174">
        <v>443.52599999999995</v>
      </c>
      <c r="H709" s="174">
        <v>887.05199999999991</v>
      </c>
    </row>
    <row r="710" spans="2:8" ht="15">
      <c r="B710" s="120">
        <v>4823114089398</v>
      </c>
      <c r="C710" s="39" t="s">
        <v>414</v>
      </c>
      <c r="D710" s="121">
        <f ca="1">IFERROR(__xludf.DUMMYFUNCTION("VLOOKUP(SPLIT(C710,"".""),SPLIT(C710,"".""),1)"),132041)</f>
        <v>132041</v>
      </c>
      <c r="E710" s="39" t="s">
        <v>415</v>
      </c>
      <c r="F710" s="42" t="s">
        <v>16</v>
      </c>
      <c r="G710" s="47">
        <v>190.16749999999999</v>
      </c>
      <c r="H710" s="47">
        <v>380.33499999999998</v>
      </c>
    </row>
    <row r="711" spans="2:8" ht="15">
      <c r="B711" s="38">
        <v>4823114089381</v>
      </c>
      <c r="C711" s="162" t="s">
        <v>416</v>
      </c>
      <c r="D711" s="121">
        <f ca="1">IFERROR(__xludf.DUMMYFUNCTION("VLOOKUP(SPLIT(C711,"".""),SPLIT(C711,"".""),1)"),132039)</f>
        <v>132039</v>
      </c>
      <c r="E711" s="39" t="s">
        <v>417</v>
      </c>
      <c r="F711" s="42" t="s">
        <v>413</v>
      </c>
      <c r="G711" s="47">
        <v>133.53049999999999</v>
      </c>
      <c r="H711" s="47">
        <v>267.06099999999998</v>
      </c>
    </row>
  </sheetData>
  <hyperlinks>
    <hyperlink ref="C171" r:id="rId1" xr:uid="{00000000-0004-0000-0900-000000000000}"/>
    <hyperlink ref="C194" r:id="rId2" xr:uid="{00000000-0004-0000-0900-000001000000}"/>
    <hyperlink ref="C252" r:id="rId3" xr:uid="{00000000-0004-0000-0900-000002000000}"/>
    <hyperlink ref="C313" r:id="rId4" xr:uid="{00000000-0004-0000-0900-000003000000}"/>
    <hyperlink ref="C356" r:id="rId5" xr:uid="{00000000-0004-0000-0900-000004000000}"/>
    <hyperlink ref="C357" r:id="rId6" xr:uid="{00000000-0004-0000-0900-000005000000}"/>
    <hyperlink ref="C534" r:id="rId7" xr:uid="{00000000-0004-0000-09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Intrusion protection | Superior</vt:lpstr>
      <vt:lpstr>Intrusion protection | Baseline</vt:lpstr>
      <vt:lpstr>Video surveillance | Superior</vt:lpstr>
      <vt:lpstr>Video surveillance | Baseline</vt:lpstr>
      <vt:lpstr>Residential | Fire &amp; life safet</vt:lpstr>
      <vt:lpstr>EN54  | Fire &amp; life safety</vt:lpstr>
      <vt:lpstr>Comfort &amp; automation</vt:lpstr>
      <vt:lpstr>Ajax Services</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Da Costa</cp:lastModifiedBy>
  <dcterms:modified xsi:type="dcterms:W3CDTF">2026-03-20T12:38:13Z</dcterms:modified>
</cp:coreProperties>
</file>