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DaCosta\CoworkSertek\Ajax_Jablotron\"/>
    </mc:Choice>
  </mc:AlternateContent>
  <xr:revisionPtr revIDLastSave="0" documentId="13_ncr:1_{7018580B-EEEF-4F5A-AEE0-1D6759EC405D}" xr6:coauthVersionLast="47" xr6:coauthVersionMax="47" xr10:uidLastSave="{00000000-0000-0000-0000-000000000000}"/>
  <bookViews>
    <workbookView xWindow="-120" yWindow="-120" windowWidth="38640" windowHeight="21120" activeTab="1" xr2:uid="{C8447C52-4D67-40A2-9826-AD1D18FA7E41}"/>
  </bookViews>
  <sheets>
    <sheet name="Sheet1" sheetId="1" r:id="rId1"/>
    <sheet name="Sheet2" sheetId="2" r:id="rId2"/>
  </sheets>
  <definedNames>
    <definedName name="_xlnm._FilterDatabase" localSheetId="0" hidden="1">Sheet1!$A$2:$E$2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" i="1" l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125" i="1"/>
  <c r="D126" i="1"/>
  <c r="D127" i="1"/>
  <c r="D1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</calcChain>
</file>

<file path=xl/sharedStrings.xml><?xml version="1.0" encoding="utf-8"?>
<sst xmlns="http://schemas.openxmlformats.org/spreadsheetml/2006/main" count="451" uniqueCount="356">
  <si>
    <t>Part_Number</t>
  </si>
  <si>
    <t>Part_Description</t>
  </si>
  <si>
    <t>1BT3041</t>
  </si>
  <si>
    <t>BAT,LITHIUM-ION,7.4V,2.2Ah+Conn,RECHARG</t>
  </si>
  <si>
    <t>1BT3054</t>
  </si>
  <si>
    <t>BAT,Li-Polymer,3.7V,5Ah,CBL 55mm + Conn+Adhesive</t>
  </si>
  <si>
    <t>1CB6029</t>
  </si>
  <si>
    <t>CABLE,200MM, SMA FEM.- UFL FEM.</t>
  </si>
  <si>
    <t>RVCM11W340RA</t>
  </si>
  <si>
    <t>VUpoint 4MP WiFi Cube Camera</t>
  </si>
  <si>
    <t>RVCM51W320RA</t>
  </si>
  <si>
    <t>VUpoint 4MP WiFi Bullet Camera</t>
  </si>
  <si>
    <t>RVCM61W360RA</t>
  </si>
  <si>
    <t>VUpoint 4MP WiFi PT Camera</t>
  </si>
  <si>
    <t>RVNVR044K1RA</t>
  </si>
  <si>
    <t>VUpoint 4ch PoE NVR 4K Black</t>
  </si>
  <si>
    <t>RVNVR324K1RA</t>
  </si>
  <si>
    <t>VUpoint 32ch NVR 4K Black</t>
  </si>
  <si>
    <t>RA332KPFM00A</t>
  </si>
  <si>
    <t>WL Panda Keypad Flush Mount Kit</t>
  </si>
  <si>
    <t>RA350S00000B</t>
  </si>
  <si>
    <t>Beyond DT 180° Swivel Kit</t>
  </si>
  <si>
    <t>RA350SSLR00A</t>
  </si>
  <si>
    <t>WL Beyond 180° Solar Swivel Kit</t>
  </si>
  <si>
    <t>RA51T000000A</t>
  </si>
  <si>
    <t>Bware Wall/Ceiling SwivelBracket</t>
  </si>
  <si>
    <t>RA78UNI0000A</t>
  </si>
  <si>
    <t>X78 External/Shutter TB Bracket</t>
  </si>
  <si>
    <t>RADB701MB00A</t>
  </si>
  <si>
    <t>Bracket for Wi-Fi Doorbell(x10)</t>
  </si>
  <si>
    <t>RAKELFLUSH0A</t>
  </si>
  <si>
    <t>Elegant Keypad Flush Mount Kit</t>
  </si>
  <si>
    <t>RAX73MS0000A</t>
  </si>
  <si>
    <t>X73 Magnet White Spacers, 5 each 2mm &amp; 4mm</t>
  </si>
  <si>
    <t>RAX73MSBL00A</t>
  </si>
  <si>
    <t>X73 Magnet Black Spacers, 5 each 2mm &amp; 4mm</t>
  </si>
  <si>
    <t>RAX73XS0000A</t>
  </si>
  <si>
    <t>X73 Main Unit White Spacers, 5 each 2mm &amp; 4mm</t>
  </si>
  <si>
    <t>RAX73XSBL00A</t>
  </si>
  <si>
    <t>X73 Main Unit Black Spacers, 5 each 2mm &amp; 4mm</t>
  </si>
  <si>
    <t>RG71FM0G300B</t>
  </si>
  <si>
    <t>ViTRON Plus Glassbreak</t>
  </si>
  <si>
    <t>RK150DTG300D</t>
  </si>
  <si>
    <t>LUNAR DTAM GRADE 3</t>
  </si>
  <si>
    <t>RK2000DPC00B</t>
  </si>
  <si>
    <t>LuNAR PR Ceiling Mount</t>
  </si>
  <si>
    <t>RK200DTG300D</t>
  </si>
  <si>
    <t>Ind. LuNAR DT AM G3</t>
  </si>
  <si>
    <t>RK350DT0000B</t>
  </si>
  <si>
    <t>Wired Beyond DT</t>
  </si>
  <si>
    <t>RK500Q0G300A</t>
  </si>
  <si>
    <t>BWare QUAD AM</t>
  </si>
  <si>
    <t>RK500QBG300A</t>
  </si>
  <si>
    <t>BWare Bus QUAD AM</t>
  </si>
  <si>
    <t>RK515DTBG30A</t>
  </si>
  <si>
    <t>BWare Bus DT AM, 15m</t>
  </si>
  <si>
    <t>RK515DTBGL0A</t>
  </si>
  <si>
    <t>BWare Bus DT, 15m</t>
  </si>
  <si>
    <t>RK515DTG300B</t>
  </si>
  <si>
    <t>Bware DT AM Grade 3, 15m</t>
  </si>
  <si>
    <t>RK515DTGL00B</t>
  </si>
  <si>
    <t>Bware DT Grade 2, 15m</t>
  </si>
  <si>
    <t>RK600S00000B</t>
  </si>
  <si>
    <t>ShockTec</t>
  </si>
  <si>
    <t>RK66S000000B</t>
  </si>
  <si>
    <t>Seismic with MP &amp; Tester</t>
  </si>
  <si>
    <t>RK811DTPT00E</t>
  </si>
  <si>
    <t>IWISE DTPT 11M</t>
  </si>
  <si>
    <t>RP128B50000A</t>
  </si>
  <si>
    <t>Plastic Accessory Box</t>
  </si>
  <si>
    <t>RP128EZ0100A</t>
  </si>
  <si>
    <t>Single Zone Expander</t>
  </si>
  <si>
    <t>RP128EZB000B</t>
  </si>
  <si>
    <t>Bus Zone Expander</t>
  </si>
  <si>
    <t>RP128PKR300A</t>
  </si>
  <si>
    <t>Prox Key Reader Kit 13.56MHz</t>
  </si>
  <si>
    <t>RP200KT0000A</t>
  </si>
  <si>
    <t>RISCO 10 Prox Tags, Black 13.56M</t>
  </si>
  <si>
    <t>RP200KT2000A</t>
  </si>
  <si>
    <t>RISCO 2 Prox Tags Black13.56MHz</t>
  </si>
  <si>
    <t>RP296E04000A</t>
  </si>
  <si>
    <t>4 Relay Outputs + IMQ</t>
  </si>
  <si>
    <t>RP432BP2000A</t>
  </si>
  <si>
    <t>LightSYS+,Small Plastic Box+TMP</t>
  </si>
  <si>
    <t>RP432BP3000A</t>
  </si>
  <si>
    <t>LightSYS+,Base+Metal Cover+TMP</t>
  </si>
  <si>
    <t>RP432BP4000A</t>
  </si>
  <si>
    <t>LightSYS+,Large Plastic Box+TMP</t>
  </si>
  <si>
    <t>RP432EPS350A</t>
  </si>
  <si>
    <t>3.5A Power Supply Expander</t>
  </si>
  <si>
    <t>RP432EWS800A</t>
  </si>
  <si>
    <t>Wireless Security Module 868Hz</t>
  </si>
  <si>
    <t>RP432EWV800B</t>
  </si>
  <si>
    <t>Wireless Video Module 868/869MHz</t>
  </si>
  <si>
    <t>RP432EZ8000C</t>
  </si>
  <si>
    <t>8 Zone Expander</t>
  </si>
  <si>
    <t>RP432G4V1EUA</t>
  </si>
  <si>
    <t>4G Module for LightSYS Plus+Ant,VOICE,EU</t>
  </si>
  <si>
    <t>RP432KP0000A</t>
  </si>
  <si>
    <t>LightSYS LCD Keypad</t>
  </si>
  <si>
    <t>RP432KPP200D</t>
  </si>
  <si>
    <t>Panda Wired Keypad, Prox.</t>
  </si>
  <si>
    <t>RP432KPT000A</t>
  </si>
  <si>
    <t>RisControl IPS Touchscreen KP</t>
  </si>
  <si>
    <t>RP432KPTP00A</t>
  </si>
  <si>
    <t>RisControl IPS Touchscreen KP+ Proximity</t>
  </si>
  <si>
    <t>RP432KPTZEUA</t>
  </si>
  <si>
    <t>RisControl+ZWave for EU, 868.42MHz</t>
  </si>
  <si>
    <t>RP432MP0000A</t>
  </si>
  <si>
    <t>LightSYS Plus Main Board</t>
  </si>
  <si>
    <t>RP432PS25NCA</t>
  </si>
  <si>
    <t>2.5A P.S ,Without AC cable</t>
  </si>
  <si>
    <t>RP432PS3ANPA</t>
  </si>
  <si>
    <t>100-240VAC TO 14.4VDC/3A,No Plug</t>
  </si>
  <si>
    <t>RP432PS45NCA</t>
  </si>
  <si>
    <t>4.5A  P.S ,Without AC cable</t>
  </si>
  <si>
    <t>RP432PSTN00A</t>
  </si>
  <si>
    <t>PSTN Plug-in Module</t>
  </si>
  <si>
    <t>RP432TMPCOBA</t>
  </si>
  <si>
    <t>COB Tamper for LightSYS Housing</t>
  </si>
  <si>
    <t>RP512ECOB00A</t>
  </si>
  <si>
    <t>Cellular on Bus (COB) Module</t>
  </si>
  <si>
    <t>RP512GKNX00A</t>
  </si>
  <si>
    <t>KNX/Modbus Module</t>
  </si>
  <si>
    <t>RPIM5861200A</t>
  </si>
  <si>
    <t>r Plate for Rectangular Wall Box</t>
  </si>
  <si>
    <t>RPKELPWT000B</t>
  </si>
  <si>
    <t>Elegant Keypad, White W/Prox</t>
  </si>
  <si>
    <t>RPZWBO868EUA</t>
  </si>
  <si>
    <t>Water Heating Thermostat 800S,868MHz</t>
  </si>
  <si>
    <t>RPZWIR868EUA</t>
  </si>
  <si>
    <t>Electrical IR Heating Thermostat 800S,868MHz</t>
  </si>
  <si>
    <t>RPZWSH868EUA</t>
  </si>
  <si>
    <t>Micro Shutter Module 500S,868MHz</t>
  </si>
  <si>
    <t>RPZWSW868EUA</t>
  </si>
  <si>
    <t>ON/OFF Micro Switch Module 800S,868MHz</t>
  </si>
  <si>
    <t>RPZWTH868EUA</t>
  </si>
  <si>
    <t>l Heating Thermostat 800S,868MHz</t>
  </si>
  <si>
    <t>RS200WAP000B</t>
  </si>
  <si>
    <t>ProSound with Proximity, Amber</t>
  </si>
  <si>
    <t>RS402BL0000A</t>
  </si>
  <si>
    <t>Lumin8 Delta with backlight,Blue</t>
  </si>
  <si>
    <t>RVCM32A330RA</t>
  </si>
  <si>
    <t>VUpoint 5MP PoE Dome AI Camera</t>
  </si>
  <si>
    <t>RVCM32W1600B</t>
  </si>
  <si>
    <t>VUpoint 2MP WiFi Eyeball Camera</t>
  </si>
  <si>
    <t>RVCM52A310RA</t>
  </si>
  <si>
    <t>VUpoint  4MP Poe Bullet AI Camera</t>
  </si>
  <si>
    <t>RVCM52A350RA</t>
  </si>
  <si>
    <t>VUpoint 5MP PoE VF Bullet AI Camera</t>
  </si>
  <si>
    <t>RVCM72A300RA</t>
  </si>
  <si>
    <t>VUpoint  4MP Poe Eyeball AI Camera</t>
  </si>
  <si>
    <t>RVCM92A370RA</t>
  </si>
  <si>
    <t>VUpoint 5MP PoE Thermal Bullet AI Camera</t>
  </si>
  <si>
    <t>RVDB701C000A</t>
  </si>
  <si>
    <t>Wireless Door Chime for Wi-Fi Doorbell</t>
  </si>
  <si>
    <t>RVDBA701000A</t>
  </si>
  <si>
    <t>WiFi Video Doorbell Camera+Wireless Chime KIT</t>
  </si>
  <si>
    <t>RVIM0115B0RA</t>
  </si>
  <si>
    <t>5MP PoE Dome AI Camera Junction Box</t>
  </si>
  <si>
    <t>RVIM0A12000A</t>
  </si>
  <si>
    <t>PFA120 Junction Box</t>
  </si>
  <si>
    <t>RVIM0A13000A</t>
  </si>
  <si>
    <t>PFA130-E Water-proof Box</t>
  </si>
  <si>
    <t>RVIM0A13400A</t>
  </si>
  <si>
    <t>PFA134 Water-proof Junction Box</t>
  </si>
  <si>
    <t>RVIM0A13700A</t>
  </si>
  <si>
    <t>PFA137 Junction Box</t>
  </si>
  <si>
    <t>RVIM0CXHI0RA</t>
  </si>
  <si>
    <t>5MP PoE Thermal Bullet AI Camera Junction Box</t>
  </si>
  <si>
    <t>RVIM0CXHN0RA</t>
  </si>
  <si>
    <t>4MP Poe Bullet AI Camera Junction Box</t>
  </si>
  <si>
    <t>RVIM6DZJD0RA</t>
  </si>
  <si>
    <t>5MP PoE Dome AI Camera Flush Mount Bracket</t>
  </si>
  <si>
    <t>RVNVR084K1RA</t>
  </si>
  <si>
    <t>VUpoint 8ch PoE NVR 4K Black</t>
  </si>
  <si>
    <t>RVNVR164K1RA</t>
  </si>
  <si>
    <t>VUpoint 16ch NVR 4K Black</t>
  </si>
  <si>
    <t>RW13200W000A</t>
  </si>
  <si>
    <t>WiFi Module for Plastic Box</t>
  </si>
  <si>
    <t>RW132G4T0EUA</t>
  </si>
  <si>
    <t>4G for Plastic box&amp;Ant,VOICE,EU</t>
  </si>
  <si>
    <t>RW132I04000A</t>
  </si>
  <si>
    <t>WL I/O &amp; X10 Expander, 868MHz</t>
  </si>
  <si>
    <t>RW132XWR800A</t>
  </si>
  <si>
    <t>WL 2W Repeater 868/869MHz</t>
  </si>
  <si>
    <t>RW332KPP800E</t>
  </si>
  <si>
    <t>WL Panda KP+Prox,868</t>
  </si>
  <si>
    <t>RW432G4V1EUA</t>
  </si>
  <si>
    <t>4G Module for LightSYS Air,VOICE,EU</t>
  </si>
  <si>
    <t>RW432KPP802A</t>
  </si>
  <si>
    <t>WL Panda KP LightSYS+/Air&amp;Prox For 868MHz System</t>
  </si>
  <si>
    <t>RW432M08000A</t>
  </si>
  <si>
    <t>LightSYS Air Panel,WiFi&amp;IP,868MHz</t>
  </si>
  <si>
    <t>RW432M08B00A</t>
  </si>
  <si>
    <t>LightSYS Air Panel,WiFi&amp;IP,868MHz,Black</t>
  </si>
  <si>
    <t>RW432MV8000A</t>
  </si>
  <si>
    <t>LightSYS Air Panel (Voice&amp;WiFi&amp;IP),868MHz, White</t>
  </si>
  <si>
    <t>RW432MV8200A</t>
  </si>
  <si>
    <t>LightSYS Air Panel, Voice&amp;WiFi&amp;IP,4G, 868, White</t>
  </si>
  <si>
    <t>RWS401A8000B</t>
  </si>
  <si>
    <t>WL Lumin8, Amber 868MHz</t>
  </si>
  <si>
    <t>RWS42086800B</t>
  </si>
  <si>
    <t>WL Indoor Sounder 868MHz, Round</t>
  </si>
  <si>
    <t>RWT51P80000B</t>
  </si>
  <si>
    <t>Wristband Panic Transmitter 868MHz</t>
  </si>
  <si>
    <t>RWT52P86800B</t>
  </si>
  <si>
    <t>2 Button Panic Keyfob 868 MHz</t>
  </si>
  <si>
    <t>RWT62W86800C</t>
  </si>
  <si>
    <t>WL Shock + Contact, 868MHZ</t>
  </si>
  <si>
    <t>RWT6FW86800B</t>
  </si>
  <si>
    <t>WL Flood Detector 868MHz</t>
  </si>
  <si>
    <t>RWT6G086800C</t>
  </si>
  <si>
    <t>WL Glassbreak Detector 868MHZ</t>
  </si>
  <si>
    <t>RWX10680200A</t>
  </si>
  <si>
    <t>2-Way WL Curtain PIR, 868MHz</t>
  </si>
  <si>
    <t>RWX107DT800C</t>
  </si>
  <si>
    <t>Wireless Outdoor DT Curtain 868+</t>
  </si>
  <si>
    <t>RWX332KF800B</t>
  </si>
  <si>
    <t>Panda 2Way KeyFob 868MHz</t>
  </si>
  <si>
    <t>RWX350D0800A</t>
  </si>
  <si>
    <t>WL Beyond DT, 868MHz</t>
  </si>
  <si>
    <t>RWX350DC800B</t>
  </si>
  <si>
    <t>WL Beyond DT Cam,868.65/869.525M</t>
  </si>
  <si>
    <t>RWX35S00800C</t>
  </si>
  <si>
    <t>WL Smoke &amp; Heat,868</t>
  </si>
  <si>
    <t>RWX35SP0800A</t>
  </si>
  <si>
    <t>Wireless LuNAR FireWatch Smoke,Heat&amp;PIR,868Mhz</t>
  </si>
  <si>
    <t>RWX515DT080A</t>
  </si>
  <si>
    <t>2 Way WL BWare DT, 868MHz</t>
  </si>
  <si>
    <t>RWX73F86800C</t>
  </si>
  <si>
    <t>2Way Multi-Function Contacts,868</t>
  </si>
  <si>
    <t>RWX73M86800D</t>
  </si>
  <si>
    <t>2Way Door/Window Contacts, 868</t>
  </si>
  <si>
    <t>RWX780868M3C</t>
  </si>
  <si>
    <t>2-way Slim Contact X73 868MHz</t>
  </si>
  <si>
    <t>RWX95CMP800C</t>
  </si>
  <si>
    <t>2W WL eyeWAVE Pet Cam,868MHz</t>
  </si>
  <si>
    <t>RWX95DTP800C</t>
  </si>
  <si>
    <t>Wireless iWave DT PET/PIR,868MHz</t>
  </si>
  <si>
    <t>RWX95P86800D</t>
  </si>
  <si>
    <t>2-Way Wireless iWAVE PET/PIR,868MHz</t>
  </si>
  <si>
    <t>RWX96C80200A</t>
  </si>
  <si>
    <t>2 Way WL Piccolo PIR 868MHz</t>
  </si>
  <si>
    <t>RWX96P80200A</t>
  </si>
  <si>
    <t>2 Way WL Piccolo Pet 868MHz</t>
  </si>
  <si>
    <t>Current  Price</t>
  </si>
  <si>
    <t>New  public Price- February 2026</t>
  </si>
  <si>
    <t>Net price -February 2026</t>
  </si>
  <si>
    <t xml:space="preserve">DACH 68% </t>
  </si>
  <si>
    <t>2-way X78 Slim Shock Detector 868MHz,BLACK</t>
  </si>
  <si>
    <t>RWX78S08W00A</t>
  </si>
  <si>
    <t>2-way X78 Slim Shock Detector 868MHz,WHITE</t>
  </si>
  <si>
    <t>RWX78SM8B00A</t>
  </si>
  <si>
    <t>2-way X78 Slim Shock&amp;Contact 868MHz,BLACK</t>
  </si>
  <si>
    <t>RWX78SM8W00A</t>
  </si>
  <si>
    <t>2-way X78 Slim Shock&amp;Contact 868MHz,WHITE</t>
  </si>
  <si>
    <t>RWX78S08B00A</t>
  </si>
  <si>
    <t xml:space="preserve">Weight (en Kg) </t>
  </si>
  <si>
    <t>EAN</t>
  </si>
  <si>
    <t>1BT3031</t>
  </si>
  <si>
    <t>1BT3032</t>
  </si>
  <si>
    <t>1BT3034</t>
  </si>
  <si>
    <t>1RPZWVP868EU</t>
  </si>
  <si>
    <t>1RPZWVP868EUDE</t>
  </si>
  <si>
    <t>1RPZWVP868EUE</t>
  </si>
  <si>
    <t>1RPZWVR868EUD</t>
  </si>
  <si>
    <t>1RPZWVT868EUER</t>
  </si>
  <si>
    <t>3RL0024H</t>
  </si>
  <si>
    <t>3RL0025H</t>
  </si>
  <si>
    <t>3RL0025V</t>
  </si>
  <si>
    <t>KTRW132SPS000B</t>
  </si>
  <si>
    <t>RA78UNIBL00A</t>
  </si>
  <si>
    <t>RA900000000A</t>
  </si>
  <si>
    <t>RA910000000A</t>
  </si>
  <si>
    <t>N/A</t>
  </si>
  <si>
    <t>RAK410</t>
  </si>
  <si>
    <t>RAX73MSB000A</t>
  </si>
  <si>
    <t>RAX73XSB000A</t>
  </si>
  <si>
    <t>RAX78MS0000A</t>
  </si>
  <si>
    <t>RAX78MSB000A</t>
  </si>
  <si>
    <t>RAX78MSBL00A</t>
  </si>
  <si>
    <t>RAX78XS0000A</t>
  </si>
  <si>
    <t>RAX78XSB000A</t>
  </si>
  <si>
    <t>RAX78XSBL00A</t>
  </si>
  <si>
    <t>RC432GSM4G0A</t>
  </si>
  <si>
    <t>RC432WIFI00A</t>
  </si>
  <si>
    <t>RCGSM4G0000A</t>
  </si>
  <si>
    <t>RCGSM4G1000A</t>
  </si>
  <si>
    <t>RCWIFIANT00A</t>
  </si>
  <si>
    <t>RK107DTB000C</t>
  </si>
  <si>
    <t>RK315DT0000C</t>
  </si>
  <si>
    <t>RK325DT0000D</t>
  </si>
  <si>
    <t>RK412PT0000C</t>
  </si>
  <si>
    <t>RK415DT0000C</t>
  </si>
  <si>
    <t>RK415PR0000C</t>
  </si>
  <si>
    <t>RK601SMG300C</t>
  </si>
  <si>
    <t>RK6F0000000A</t>
  </si>
  <si>
    <t>RK700PRPW00A</t>
  </si>
  <si>
    <t>RK815DTG300D</t>
  </si>
  <si>
    <t>RK825DTG300D</t>
  </si>
  <si>
    <t>RL115C</t>
  </si>
  <si>
    <t>RL15</t>
  </si>
  <si>
    <t>RL17V</t>
  </si>
  <si>
    <t>RL312HIA</t>
  </si>
  <si>
    <t>RL312LRA</t>
  </si>
  <si>
    <t>RP128PSPSEUA</t>
  </si>
  <si>
    <t>RP200SIMTN1B</t>
  </si>
  <si>
    <t>RP432DOR000A</t>
  </si>
  <si>
    <t>RP432EV0001C</t>
  </si>
  <si>
    <t>RP432G400EUA</t>
  </si>
  <si>
    <t>RP432G4T0EUA</t>
  </si>
  <si>
    <t>RP432KPP000A</t>
  </si>
  <si>
    <t>RP432KPP0GEA</t>
  </si>
  <si>
    <t>RP432PSRC00A</t>
  </si>
  <si>
    <t>RP512IP0000A</t>
  </si>
  <si>
    <t>RP512MD2400A</t>
  </si>
  <si>
    <t>RPKELPB0000B</t>
  </si>
  <si>
    <t>RS200WA0000B</t>
  </si>
  <si>
    <t>RVCM11P1800A</t>
  </si>
  <si>
    <t>RVCM11W1500B</t>
  </si>
  <si>
    <t>RVCM32P1900A</t>
  </si>
  <si>
    <t>RVCM52P2000A</t>
  </si>
  <si>
    <t>RVCM52P2200A</t>
  </si>
  <si>
    <t>RVCM52W1400B</t>
  </si>
  <si>
    <t>RVCM61H1700A</t>
  </si>
  <si>
    <t>RVCM72P2100A</t>
  </si>
  <si>
    <t>RVCM72P2300A</t>
  </si>
  <si>
    <t>RVCM82E2500A</t>
  </si>
  <si>
    <t>RVIM1203W00A</t>
  </si>
  <si>
    <t>RVIM2300C00A</t>
  </si>
  <si>
    <t>RVIM3A15000A</t>
  </si>
  <si>
    <t>RVNVR04002QB</t>
  </si>
  <si>
    <t>RVNVR08002QB</t>
  </si>
  <si>
    <t>RVNVR16002FB</t>
  </si>
  <si>
    <t>RVNVR324K1FB</t>
  </si>
  <si>
    <t>RW132CB0000A</t>
  </si>
  <si>
    <t>RW132EVL000A</t>
  </si>
  <si>
    <t>RW132V800A0F</t>
  </si>
  <si>
    <t>RW132V8K0A0F</t>
  </si>
  <si>
    <t>RW432KPP800B</t>
  </si>
  <si>
    <t>RW432KPP8B2A</t>
  </si>
  <si>
    <t>RW432MV8B00A</t>
  </si>
  <si>
    <t>RW432P801EUA</t>
  </si>
  <si>
    <t>RW432P803EUA</t>
  </si>
  <si>
    <t>RW432P811EUA</t>
  </si>
  <si>
    <t>RW432P813EUA</t>
  </si>
  <si>
    <t>RWT6CO80000B</t>
  </si>
  <si>
    <t>RWT6SW86800D</t>
  </si>
  <si>
    <t>RWX332KF8BLB</t>
  </si>
  <si>
    <t>RWX73M8BL00D</t>
  </si>
  <si>
    <t>RWX7808BLM3C</t>
  </si>
  <si>
    <t>RWX95CM8000C</t>
  </si>
  <si>
    <t>RWX95CMP8BLC</t>
  </si>
  <si>
    <t>RWX95P868BLD</t>
  </si>
  <si>
    <t>Installer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</si>
</sst>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-2]\ #,##0.00_);[Red]\([$€-2]\ #,##0.00\)"/>
    <numFmt numFmtId="165" formatCode="[$€-2]\ #,##0.00;[Red]\-[$€-2]\ #,##0.00"/>
    <numFmt numFmtId="166" formatCode="0.000"/>
    <numFmt numFmtId="167" formatCode="_-* #,##0.00\ [$CHF-100C]_-;\-* #,##0.00\ [$CHF-100C]_-;_-* &quot;-&quot;??\ [$CHF-100C]_-;_-@_-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4" fillId="2" borderId="0" xfId="0" applyFont="1" applyFill="1"/>
    <xf numFmtId="165" fontId="1" fillId="3" borderId="0" xfId="0" applyNumberFormat="1" applyFont="1" applyFill="1"/>
    <xf numFmtId="165" fontId="2" fillId="3" borderId="0" xfId="0" applyNumberFormat="1" applyFont="1" applyFill="1"/>
    <xf numFmtId="165" fontId="2" fillId="4" borderId="0" xfId="0" applyNumberFormat="1" applyFont="1" applyFill="1"/>
    <xf numFmtId="165" fontId="4" fillId="5" borderId="0" xfId="0" applyNumberFormat="1" applyFont="1" applyFill="1"/>
    <xf numFmtId="164" fontId="0" fillId="5" borderId="0" xfId="0" applyNumberFormat="1" applyFill="1"/>
    <xf numFmtId="165" fontId="2" fillId="5" borderId="0" xfId="0" applyNumberFormat="1" applyFont="1" applyFill="1"/>
    <xf numFmtId="165" fontId="1" fillId="5" borderId="0" xfId="0" applyNumberFormat="1" applyFont="1" applyFill="1"/>
    <xf numFmtId="165" fontId="2" fillId="6" borderId="0" xfId="0" applyNumberFormat="1" applyFont="1" applyFill="1"/>
    <xf numFmtId="165" fontId="1" fillId="6" borderId="0" xfId="0" applyNumberFormat="1" applyFont="1" applyFill="1"/>
    <xf numFmtId="165" fontId="4" fillId="6" borderId="0" xfId="0" applyNumberFormat="1" applyFont="1" applyFill="1"/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0" fillId="2" borderId="0" xfId="0" applyFill="1"/>
    <xf numFmtId="0" fontId="0" fillId="9" borderId="0" xfId="0" applyFill="1"/>
    <xf numFmtId="0" fontId="2" fillId="10" borderId="0" xfId="0" applyFont="1" applyFill="1"/>
    <xf numFmtId="0" fontId="5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6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2" fillId="1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center"/>
    </xf>
    <xf numFmtId="9" fontId="3" fillId="7" borderId="0" xfId="0" applyNumberFormat="1" applyFont="1" applyFill="1" applyAlignment="1">
      <alignment horizontal="center"/>
    </xf>
    <xf numFmtId="165" fontId="0" fillId="0" borderId="0" xfId="0" applyNumberFormat="1"/>
    <xf numFmtId="167" fontId="0" fillId="0" borderId="0" xfId="0" applyNumberFormat="1"/>
  </cellXfs>
  <cellStyles count="2">
    <cellStyle name="Normal" xfId="0" builtinId="0"/>
    <cellStyle name="Normal 2" xfId="1" xr:uid="{AF562204-8BD1-47B8-BD59-6EF780DB2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366BAF6F-338B-48DA-B244-53BCEC6A9C6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3C604644-5CA0-430A-B207-15FDFE2B98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AD0DE6CA-CC9A-4FB3-B076-86ED5D20AF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2309ECB-CA57-4521-9022-BFDF507DFF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70BB923-3880-4277-9C88-5140C541C3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3E06EE8-7A4E-4AFE-B0A7-0D8E1E96CB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A6CC4101-9D26-45E2-B666-3309D06A5C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6DD5C61-49FB-48FC-9ACC-EE21BE40C6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271231E-FFE8-4C71-B72C-826A9FD4EF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7279895-C5B0-4EB8-8F27-DBFE9BE9D74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F082055-819E-4BB1-9948-C128E3DC15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8F4165D-65ED-4FF7-BD07-D768FF264E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35C8C8F-D6EB-4438-BFB5-90E4B1269C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7B470E7-FA5A-46DA-8577-D0E6A03EEA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45363F6F-BCD7-4C5E-8CB8-442F53858E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31866BC3-5FF0-41DF-A1DD-4CEDFA6E6D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2535D5B-EF93-43A4-A84E-D453B55017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1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4A8456B-7E04-4BAF-9D0B-8205D954098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6E4038E-296B-444D-8482-66C737ED03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3D34B061-EC54-4953-9BFF-5081FBEE12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DE52290E-FE4F-4954-8CA1-F0D3982785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D3373F5-073E-4D7C-BE5A-A52D0AA1C31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8E36C3E3-005A-4C3B-945D-34708A1DD8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8814F86-0856-4CC8-8081-1FE5BEF41CA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CAF95212-C250-4A9B-B1DD-615BFF1EB28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88F5200-9161-47EF-B292-258C85A3A1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6AD7A0A-DEA1-43B9-BCDE-3490980163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2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5B169F7-3BFF-4F51-BC6C-312BCC3E976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9981191-4644-406C-9545-EE873A9874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08E0E2D-7055-4092-AC95-17F5F729C7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6515FBD-BA42-4877-B886-37803477CA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9ED0492-3253-4082-B0E0-7163539FE3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7F60845-4E46-42A4-895D-84B7193BBE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BB60CD6-996A-49AB-8D9B-52B782FF27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5F62C83-3627-4008-B5A3-12392CAD72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132</xdr:row>
      <xdr:rowOff>0</xdr:rowOff>
    </xdr:from>
    <xdr:ext cx="304800" cy="304800"/>
    <xdr:sp macro="" textlink="">
      <xdr:nvSpPr>
        <xdr:cNvPr id="3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F3CCC86-001C-43BA-8916-624DFDC773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3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13A177AA-54F6-48C3-88C0-72235076A5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3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C688C423-975B-4060-850E-5C12710ED9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4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962FEC5-2CD7-42CF-B4DA-CBCE1012B0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C129B549-87A0-4473-B674-2773123864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F0BABB84-FE52-496F-BD75-2F015479C3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4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8D2A8060-5C0F-4852-A82A-EBED8C41DC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72753B6-C8DA-4D23-84E4-E25A74D12D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2A7B44F1-BDAB-4215-9220-120CFDD7FD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4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2395DD18-F93A-44F0-99B9-3BF4AA9455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84AB2D03-7079-48C5-900B-BEC8EB12A33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4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13AE7C66-37C7-47C2-9E41-381B47A6F6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4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4F7D05F-FF4F-4BB4-865E-43C25285E4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CA22C034-C4FF-4622-A318-55B4A1C916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5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0FCE5E9-E66B-4F88-A8A4-E549E1ABA9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008E941-12D3-4006-8A0C-3D395A9797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5987B4D-A400-4163-92A5-438E9B6048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5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7999CAE-5688-4E4E-BF42-88EFE3056D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93E6C62-83BD-4473-AD10-4DBCA2881F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DE4B3360-D281-4392-8D48-51A3E04685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5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EA6B124-C5C7-4F9C-8A34-B56DDFCD42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AB70B5CF-E043-4FB6-9E00-095F20DDBB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5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CFCF73F6-C34A-452B-9E4B-02CC763C41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6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665DF4B-16D8-4005-B5DB-9F93E8511E6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6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FDE08609-A210-43FF-8BBA-3CB09AA068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6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0F8C62D-28DC-486B-83AA-62254EF27B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6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463BD0E-8D57-4531-B171-00629C0372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6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28BCE734-2A9F-4B24-AD4F-9D843ED7A0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8610" cy="988359"/>
    <xdr:sp macro="" textlink="">
      <xdr:nvSpPr>
        <xdr:cNvPr id="6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04ABD4A-F6A5-4AED-865F-2E63B4BEA4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8610" cy="988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114</xdr:row>
      <xdr:rowOff>0</xdr:rowOff>
    </xdr:from>
    <xdr:ext cx="304800" cy="304800"/>
    <xdr:sp macro="" textlink="">
      <xdr:nvSpPr>
        <xdr:cNvPr id="6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A5161F30-B5E4-4427-AC4C-608FAEA0D5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6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E0BD4B2-4FF8-4860-B76C-079C6D4480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6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8247084-31A4-47A0-820F-8812AE95EF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6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4388C7E-DA9B-495E-8A32-A2B1296FC1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0F07C42A-9EAD-47A0-BDB4-11CE150540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C6E0648-A7BA-4404-84A9-35B52C67A9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F32463BA-6D88-4CF0-B050-B5D2F23FEB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ED952BE9-D912-4F4B-8FF6-EDEEBB08B5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8EDBA19-AEC8-458E-A322-C73CA2E012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552DA77C-2F9A-4AC6-A786-D2398C748B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0D16CF4-9A8B-4B83-853A-053CE14EA7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7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4D6E572-A8A5-41E2-A9A1-1D522CE76B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8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7C882823-6933-4E1C-8611-CD12A45785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79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D09FE2F6-00A2-4EE5-A98A-72B9DBAC40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0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3234DEB-A85F-4B6E-89F1-6EE9F5FE33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1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26DCEBB2-CCAE-4882-BA24-2418C2AC16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2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60B01025-53FD-45A1-AC48-5289BC10021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3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CC59E03-117F-49D7-B7D1-76BC2118D0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4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974E5C38-A8A9-4D86-9F64-2D325C67D2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5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4F9D0D87-3720-4094-8AA6-16509FDD49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690563</xdr:rowOff>
    </xdr:from>
    <xdr:ext cx="304800" cy="304800"/>
    <xdr:sp macro="" textlink="">
      <xdr:nvSpPr>
        <xdr:cNvPr id="86" name="HVvs9uQ8N6UjNM:" descr="Résultat de recherche d'images pour &quot;new price&quot;">
          <a:extLst>
            <a:ext uri="{FF2B5EF4-FFF2-40B4-BE49-F238E27FC236}">
              <a16:creationId xmlns:a16="http://schemas.microsoft.com/office/drawing/2014/main" id="{BED21A74-D5EE-494E-B3B8-4C08D530B1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762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34D6-03A8-4690-BBA6-87FEDAC1968C}">
  <dimension ref="A1:F128"/>
  <sheetViews>
    <sheetView workbookViewId="0">
      <pane ySplit="2" topLeftCell="A81" activePane="bottomLeft" state="frozen"/>
      <selection pane="bottomLeft" activeCell="A101" sqref="A101"/>
    </sheetView>
  </sheetViews>
  <sheetFormatPr baseColWidth="10" defaultColWidth="9.140625" defaultRowHeight="15" x14ac:dyDescent="0.25"/>
  <cols>
    <col min="1" max="1" width="16" bestFit="1" customWidth="1"/>
    <col min="2" max="2" width="48.42578125" bestFit="1" customWidth="1"/>
    <col min="3" max="3" width="17.85546875" bestFit="1" customWidth="1"/>
    <col min="4" max="4" width="18.28515625" customWidth="1"/>
    <col min="5" max="5" width="22.5703125" customWidth="1"/>
    <col min="6" max="6" width="13.28515625" bestFit="1" customWidth="1"/>
  </cols>
  <sheetData>
    <row r="1" spans="1:6" x14ac:dyDescent="0.25">
      <c r="A1" s="31" t="s">
        <v>249</v>
      </c>
      <c r="B1" s="31"/>
      <c r="C1" s="31"/>
      <c r="D1" s="31"/>
      <c r="E1" s="31"/>
      <c r="F1" s="31"/>
    </row>
    <row r="2" spans="1:6" ht="30" customHeight="1" x14ac:dyDescent="0.25">
      <c r="A2" s="14" t="s">
        <v>0</v>
      </c>
      <c r="B2" s="14" t="s">
        <v>1</v>
      </c>
      <c r="C2" s="14" t="s">
        <v>246</v>
      </c>
      <c r="D2" s="14" t="s">
        <v>248</v>
      </c>
      <c r="E2" s="15" t="s">
        <v>247</v>
      </c>
      <c r="F2" s="14" t="s">
        <v>355</v>
      </c>
    </row>
    <row r="3" spans="1:6" x14ac:dyDescent="0.25">
      <c r="A3" s="2" t="s">
        <v>2</v>
      </c>
      <c r="B3" s="2" t="s">
        <v>3</v>
      </c>
      <c r="C3" s="4">
        <v>30.03</v>
      </c>
      <c r="D3" s="8">
        <f t="shared" ref="D3:D34" si="0">E3*0.32</f>
        <v>19.2</v>
      </c>
      <c r="E3" s="7">
        <v>60</v>
      </c>
      <c r="F3" s="32">
        <f>E3*0.67</f>
        <v>40.200000000000003</v>
      </c>
    </row>
    <row r="4" spans="1:6" x14ac:dyDescent="0.25">
      <c r="A4" s="1" t="s">
        <v>4</v>
      </c>
      <c r="B4" s="1" t="s">
        <v>5</v>
      </c>
      <c r="C4" s="5">
        <v>10</v>
      </c>
      <c r="D4" s="8">
        <f t="shared" si="0"/>
        <v>8.64</v>
      </c>
      <c r="E4" s="9">
        <v>27</v>
      </c>
      <c r="F4" s="33">
        <f>E4*0.67</f>
        <v>18.09</v>
      </c>
    </row>
    <row r="5" spans="1:6" x14ac:dyDescent="0.25">
      <c r="A5" s="1" t="s">
        <v>6</v>
      </c>
      <c r="B5" s="1" t="s">
        <v>7</v>
      </c>
      <c r="C5" s="5">
        <v>2.5</v>
      </c>
      <c r="D5" s="8">
        <f t="shared" si="0"/>
        <v>2.56</v>
      </c>
      <c r="E5" s="9">
        <v>8</v>
      </c>
      <c r="F5" s="33">
        <f t="shared" ref="F5:F68" si="1">E5*0.67</f>
        <v>5.36</v>
      </c>
    </row>
    <row r="6" spans="1:6" x14ac:dyDescent="0.25">
      <c r="A6" s="16" t="s">
        <v>8</v>
      </c>
      <c r="B6" s="3" t="s">
        <v>9</v>
      </c>
      <c r="C6" s="5">
        <v>35.200000000000003</v>
      </c>
      <c r="D6" s="8">
        <f t="shared" si="0"/>
        <v>35.200000000000003</v>
      </c>
      <c r="E6" s="9">
        <v>110</v>
      </c>
      <c r="F6" s="33">
        <f t="shared" si="1"/>
        <v>73.7</v>
      </c>
    </row>
    <row r="7" spans="1:6" x14ac:dyDescent="0.25">
      <c r="A7" s="16" t="s">
        <v>10</v>
      </c>
      <c r="B7" s="3" t="s">
        <v>11</v>
      </c>
      <c r="C7" s="5">
        <v>48</v>
      </c>
      <c r="D7" s="8">
        <f t="shared" si="0"/>
        <v>48</v>
      </c>
      <c r="E7" s="9">
        <v>150</v>
      </c>
      <c r="F7" s="33">
        <f t="shared" si="1"/>
        <v>100.5</v>
      </c>
    </row>
    <row r="8" spans="1:6" x14ac:dyDescent="0.25">
      <c r="A8" s="16" t="s">
        <v>12</v>
      </c>
      <c r="B8" s="3" t="s">
        <v>13</v>
      </c>
      <c r="C8" s="5">
        <v>38.4</v>
      </c>
      <c r="D8" s="8">
        <f t="shared" si="0"/>
        <v>38.4</v>
      </c>
      <c r="E8" s="9">
        <v>120</v>
      </c>
      <c r="F8" s="33">
        <f t="shared" si="1"/>
        <v>80.400000000000006</v>
      </c>
    </row>
    <row r="9" spans="1:6" x14ac:dyDescent="0.25">
      <c r="A9" s="16" t="s">
        <v>14</v>
      </c>
      <c r="B9" s="3" t="s">
        <v>15</v>
      </c>
      <c r="C9" s="5">
        <v>96</v>
      </c>
      <c r="D9" s="8">
        <f t="shared" si="0"/>
        <v>96</v>
      </c>
      <c r="E9" s="9">
        <v>300</v>
      </c>
      <c r="F9" s="33">
        <f t="shared" si="1"/>
        <v>201</v>
      </c>
    </row>
    <row r="10" spans="1:6" x14ac:dyDescent="0.25">
      <c r="A10" s="16" t="s">
        <v>16</v>
      </c>
      <c r="B10" s="3" t="s">
        <v>17</v>
      </c>
      <c r="C10" s="5">
        <v>208</v>
      </c>
      <c r="D10" s="8">
        <f t="shared" si="0"/>
        <v>208</v>
      </c>
      <c r="E10" s="9">
        <v>650</v>
      </c>
      <c r="F10" s="33">
        <f t="shared" si="1"/>
        <v>435.5</v>
      </c>
    </row>
    <row r="11" spans="1:6" x14ac:dyDescent="0.25">
      <c r="A11" s="1" t="s">
        <v>18</v>
      </c>
      <c r="B11" s="1" t="s">
        <v>19</v>
      </c>
      <c r="C11" s="5">
        <v>14.44</v>
      </c>
      <c r="D11" s="8">
        <f t="shared" si="0"/>
        <v>12.8</v>
      </c>
      <c r="E11" s="9">
        <v>40</v>
      </c>
      <c r="F11" s="33">
        <f t="shared" si="1"/>
        <v>26.8</v>
      </c>
    </row>
    <row r="12" spans="1:6" x14ac:dyDescent="0.25">
      <c r="A12" s="1" t="s">
        <v>20</v>
      </c>
      <c r="B12" s="1" t="s">
        <v>21</v>
      </c>
      <c r="C12" s="5">
        <v>11.55</v>
      </c>
      <c r="D12" s="8">
        <f t="shared" si="0"/>
        <v>11.200000000000001</v>
      </c>
      <c r="E12" s="9">
        <v>35</v>
      </c>
      <c r="F12" s="33">
        <f t="shared" si="1"/>
        <v>23.450000000000003</v>
      </c>
    </row>
    <row r="13" spans="1:6" x14ac:dyDescent="0.25">
      <c r="A13" s="1" t="s">
        <v>22</v>
      </c>
      <c r="B13" s="1" t="s">
        <v>23</v>
      </c>
      <c r="C13" s="5">
        <v>46.2</v>
      </c>
      <c r="D13" s="8">
        <f t="shared" si="0"/>
        <v>49.28</v>
      </c>
      <c r="E13" s="9">
        <v>154</v>
      </c>
      <c r="F13" s="33">
        <f t="shared" si="1"/>
        <v>103.18</v>
      </c>
    </row>
    <row r="14" spans="1:6" x14ac:dyDescent="0.25">
      <c r="A14" s="1" t="s">
        <v>24</v>
      </c>
      <c r="B14" s="1" t="s">
        <v>25</v>
      </c>
      <c r="C14" s="5">
        <v>4.62</v>
      </c>
      <c r="D14" s="8">
        <f t="shared" si="0"/>
        <v>5.76</v>
      </c>
      <c r="E14" s="9">
        <v>18</v>
      </c>
      <c r="F14" s="33">
        <f t="shared" si="1"/>
        <v>12.06</v>
      </c>
    </row>
    <row r="15" spans="1:6" x14ac:dyDescent="0.25">
      <c r="A15" s="1" t="s">
        <v>26</v>
      </c>
      <c r="B15" s="1" t="s">
        <v>27</v>
      </c>
      <c r="C15" s="5">
        <v>11</v>
      </c>
      <c r="D15" s="8">
        <f t="shared" si="0"/>
        <v>12.16</v>
      </c>
      <c r="E15" s="10">
        <v>38</v>
      </c>
      <c r="F15" s="33">
        <f t="shared" si="1"/>
        <v>25.46</v>
      </c>
    </row>
    <row r="16" spans="1:6" x14ac:dyDescent="0.25">
      <c r="A16" s="1" t="s">
        <v>28</v>
      </c>
      <c r="B16" s="1" t="s">
        <v>29</v>
      </c>
      <c r="C16" s="5">
        <v>20</v>
      </c>
      <c r="D16" s="8">
        <f t="shared" si="0"/>
        <v>16</v>
      </c>
      <c r="E16" s="10">
        <v>50</v>
      </c>
      <c r="F16" s="33">
        <f t="shared" si="1"/>
        <v>33.5</v>
      </c>
    </row>
    <row r="17" spans="1:6" x14ac:dyDescent="0.25">
      <c r="A17" s="1" t="s">
        <v>30</v>
      </c>
      <c r="B17" s="1" t="s">
        <v>31</v>
      </c>
      <c r="C17" s="5">
        <v>14.44</v>
      </c>
      <c r="D17" s="8">
        <f t="shared" si="0"/>
        <v>13.44</v>
      </c>
      <c r="E17" s="10">
        <v>42</v>
      </c>
      <c r="F17" s="33">
        <f t="shared" si="1"/>
        <v>28.14</v>
      </c>
    </row>
    <row r="18" spans="1:6" x14ac:dyDescent="0.25">
      <c r="A18" s="1" t="s">
        <v>32</v>
      </c>
      <c r="B18" s="1" t="s">
        <v>33</v>
      </c>
      <c r="C18" s="5">
        <v>2.89</v>
      </c>
      <c r="D18" s="8">
        <f t="shared" si="0"/>
        <v>3.84</v>
      </c>
      <c r="E18" s="9">
        <v>12</v>
      </c>
      <c r="F18" s="33">
        <f t="shared" si="1"/>
        <v>8.0400000000000009</v>
      </c>
    </row>
    <row r="19" spans="1:6" x14ac:dyDescent="0.25">
      <c r="A19" s="1" t="s">
        <v>34</v>
      </c>
      <c r="B19" s="1" t="s">
        <v>35</v>
      </c>
      <c r="C19" s="5">
        <v>2.89</v>
      </c>
      <c r="D19" s="8">
        <f t="shared" si="0"/>
        <v>3.84</v>
      </c>
      <c r="E19" s="9">
        <v>12</v>
      </c>
      <c r="F19" s="33">
        <f t="shared" si="1"/>
        <v>8.0400000000000009</v>
      </c>
    </row>
    <row r="20" spans="1:6" x14ac:dyDescent="0.25">
      <c r="A20" s="1" t="s">
        <v>36</v>
      </c>
      <c r="B20" s="1" t="s">
        <v>37</v>
      </c>
      <c r="C20" s="5">
        <v>2.89</v>
      </c>
      <c r="D20" s="8">
        <f t="shared" si="0"/>
        <v>4.4800000000000004</v>
      </c>
      <c r="E20" s="9">
        <v>14</v>
      </c>
      <c r="F20" s="33">
        <f t="shared" si="1"/>
        <v>9.3800000000000008</v>
      </c>
    </row>
    <row r="21" spans="1:6" x14ac:dyDescent="0.25">
      <c r="A21" s="1" t="s">
        <v>38</v>
      </c>
      <c r="B21" s="1" t="s">
        <v>39</v>
      </c>
      <c r="C21" s="5">
        <v>2.89</v>
      </c>
      <c r="D21" s="8">
        <f t="shared" si="0"/>
        <v>4.4800000000000004</v>
      </c>
      <c r="E21" s="9">
        <v>14</v>
      </c>
      <c r="F21" s="33">
        <f t="shared" si="1"/>
        <v>9.3800000000000008</v>
      </c>
    </row>
    <row r="22" spans="1:6" x14ac:dyDescent="0.25">
      <c r="A22" s="2" t="s">
        <v>40</v>
      </c>
      <c r="B22" s="1" t="s">
        <v>41</v>
      </c>
      <c r="C22" s="5">
        <v>23.1</v>
      </c>
      <c r="D22" s="8">
        <f t="shared" si="0"/>
        <v>25.6</v>
      </c>
      <c r="E22" s="10">
        <v>80</v>
      </c>
      <c r="F22" s="33">
        <f t="shared" si="1"/>
        <v>53.6</v>
      </c>
    </row>
    <row r="23" spans="1:6" x14ac:dyDescent="0.25">
      <c r="A23" s="1" t="s">
        <v>42</v>
      </c>
      <c r="B23" s="1" t="s">
        <v>43</v>
      </c>
      <c r="C23" s="5">
        <v>40.43</v>
      </c>
      <c r="D23" s="8">
        <f t="shared" si="0"/>
        <v>40</v>
      </c>
      <c r="E23" s="10">
        <v>125</v>
      </c>
      <c r="F23" s="33">
        <f t="shared" si="1"/>
        <v>83.75</v>
      </c>
    </row>
    <row r="24" spans="1:6" x14ac:dyDescent="0.25">
      <c r="A24" s="1" t="s">
        <v>44</v>
      </c>
      <c r="B24" s="1" t="s">
        <v>45</v>
      </c>
      <c r="C24" s="5">
        <v>26.57</v>
      </c>
      <c r="D24" s="8">
        <f t="shared" si="0"/>
        <v>19.2</v>
      </c>
      <c r="E24" s="10">
        <v>60</v>
      </c>
      <c r="F24" s="33">
        <f t="shared" si="1"/>
        <v>40.200000000000003</v>
      </c>
    </row>
    <row r="25" spans="1:6" x14ac:dyDescent="0.25">
      <c r="A25" s="1" t="s">
        <v>46</v>
      </c>
      <c r="B25" s="1" t="s">
        <v>47</v>
      </c>
      <c r="C25" s="5">
        <v>80.849999999999994</v>
      </c>
      <c r="D25" s="8">
        <f t="shared" si="0"/>
        <v>96</v>
      </c>
      <c r="E25" s="10">
        <v>300</v>
      </c>
      <c r="F25" s="33">
        <f t="shared" si="1"/>
        <v>201</v>
      </c>
    </row>
    <row r="26" spans="1:6" x14ac:dyDescent="0.25">
      <c r="A26" s="1" t="s">
        <v>48</v>
      </c>
      <c r="B26" s="1" t="s">
        <v>49</v>
      </c>
      <c r="C26" s="5">
        <v>70</v>
      </c>
      <c r="D26" s="8">
        <f t="shared" si="0"/>
        <v>67.2</v>
      </c>
      <c r="E26" s="10">
        <v>210</v>
      </c>
      <c r="F26" s="33">
        <f t="shared" si="1"/>
        <v>140.70000000000002</v>
      </c>
    </row>
    <row r="27" spans="1:6" x14ac:dyDescent="0.25">
      <c r="A27" s="1" t="s">
        <v>50</v>
      </c>
      <c r="B27" s="1" t="s">
        <v>51</v>
      </c>
      <c r="C27" s="5">
        <v>20.79</v>
      </c>
      <c r="D27" s="8">
        <f t="shared" si="0"/>
        <v>22.400000000000002</v>
      </c>
      <c r="E27" s="10">
        <v>70</v>
      </c>
      <c r="F27" s="33">
        <f t="shared" si="1"/>
        <v>46.900000000000006</v>
      </c>
    </row>
    <row r="28" spans="1:6" x14ac:dyDescent="0.25">
      <c r="A28" s="1" t="s">
        <v>52</v>
      </c>
      <c r="B28" s="1" t="s">
        <v>53</v>
      </c>
      <c r="C28" s="5">
        <v>20.79</v>
      </c>
      <c r="D28" s="8">
        <f t="shared" si="0"/>
        <v>22.400000000000002</v>
      </c>
      <c r="E28" s="10">
        <v>70</v>
      </c>
      <c r="F28" s="33">
        <f t="shared" si="1"/>
        <v>46.900000000000006</v>
      </c>
    </row>
    <row r="29" spans="1:6" x14ac:dyDescent="0.25">
      <c r="A29" s="1" t="s">
        <v>54</v>
      </c>
      <c r="B29" s="1" t="s">
        <v>55</v>
      </c>
      <c r="C29" s="5">
        <v>36.96</v>
      </c>
      <c r="D29" s="8">
        <f t="shared" si="0"/>
        <v>35.200000000000003</v>
      </c>
      <c r="E29" s="10">
        <v>110</v>
      </c>
      <c r="F29" s="33">
        <f t="shared" si="1"/>
        <v>73.7</v>
      </c>
    </row>
    <row r="30" spans="1:6" x14ac:dyDescent="0.25">
      <c r="A30" s="1" t="s">
        <v>56</v>
      </c>
      <c r="B30" s="1" t="s">
        <v>57</v>
      </c>
      <c r="C30" s="5">
        <v>27.72</v>
      </c>
      <c r="D30" s="8">
        <f t="shared" si="0"/>
        <v>28.8</v>
      </c>
      <c r="E30" s="9">
        <v>90</v>
      </c>
      <c r="F30" s="33">
        <f t="shared" si="1"/>
        <v>60.300000000000004</v>
      </c>
    </row>
    <row r="31" spans="1:6" x14ac:dyDescent="0.25">
      <c r="A31" s="1" t="s">
        <v>58</v>
      </c>
      <c r="B31" s="1" t="s">
        <v>59</v>
      </c>
      <c r="C31" s="5">
        <v>36.96</v>
      </c>
      <c r="D31" s="8">
        <f t="shared" si="0"/>
        <v>35.200000000000003</v>
      </c>
      <c r="E31" s="10">
        <v>110</v>
      </c>
      <c r="F31" s="33">
        <f t="shared" si="1"/>
        <v>73.7</v>
      </c>
    </row>
    <row r="32" spans="1:6" x14ac:dyDescent="0.25">
      <c r="A32" s="1" t="s">
        <v>60</v>
      </c>
      <c r="B32" s="1" t="s">
        <v>61</v>
      </c>
      <c r="C32" s="5">
        <v>27.72</v>
      </c>
      <c r="D32" s="8">
        <f t="shared" si="0"/>
        <v>20.8</v>
      </c>
      <c r="E32" s="10">
        <v>65</v>
      </c>
      <c r="F32" s="33">
        <f t="shared" si="1"/>
        <v>43.550000000000004</v>
      </c>
    </row>
    <row r="33" spans="1:6" x14ac:dyDescent="0.25">
      <c r="A33" s="1" t="s">
        <v>62</v>
      </c>
      <c r="B33" s="1" t="s">
        <v>63</v>
      </c>
      <c r="C33" s="5">
        <v>17.329999999999998</v>
      </c>
      <c r="D33" s="8">
        <f t="shared" si="0"/>
        <v>13.120000000000001</v>
      </c>
      <c r="E33" s="9">
        <v>41</v>
      </c>
      <c r="F33" s="33">
        <f t="shared" si="1"/>
        <v>27.470000000000002</v>
      </c>
    </row>
    <row r="34" spans="1:6" x14ac:dyDescent="0.25">
      <c r="A34" s="1" t="s">
        <v>64</v>
      </c>
      <c r="B34" s="1" t="s">
        <v>65</v>
      </c>
      <c r="C34" s="5">
        <v>69.3</v>
      </c>
      <c r="D34" s="8">
        <f t="shared" si="0"/>
        <v>90.24</v>
      </c>
      <c r="E34" s="9">
        <v>282</v>
      </c>
      <c r="F34" s="33">
        <f t="shared" si="1"/>
        <v>188.94</v>
      </c>
    </row>
    <row r="35" spans="1:6" x14ac:dyDescent="0.25">
      <c r="A35" s="1" t="s">
        <v>66</v>
      </c>
      <c r="B35" s="1" t="s">
        <v>67</v>
      </c>
      <c r="C35" s="5">
        <v>22</v>
      </c>
      <c r="D35" s="8">
        <f t="shared" ref="D35:D66" si="2">E35*0.32</f>
        <v>21.44</v>
      </c>
      <c r="E35" s="9">
        <v>67</v>
      </c>
      <c r="F35" s="33">
        <f t="shared" si="1"/>
        <v>44.89</v>
      </c>
    </row>
    <row r="36" spans="1:6" x14ac:dyDescent="0.25">
      <c r="A36" s="1" t="s">
        <v>68</v>
      </c>
      <c r="B36" s="1" t="s">
        <v>69</v>
      </c>
      <c r="C36" s="5">
        <v>20.79</v>
      </c>
      <c r="D36" s="8">
        <f t="shared" si="2"/>
        <v>22.400000000000002</v>
      </c>
      <c r="E36" s="10">
        <v>70</v>
      </c>
      <c r="F36" s="33">
        <f t="shared" si="1"/>
        <v>46.900000000000006</v>
      </c>
    </row>
    <row r="37" spans="1:6" x14ac:dyDescent="0.25">
      <c r="A37" s="1" t="s">
        <v>70</v>
      </c>
      <c r="B37" s="1" t="s">
        <v>71</v>
      </c>
      <c r="C37" s="5">
        <v>8.09</v>
      </c>
      <c r="D37" s="8">
        <f t="shared" si="2"/>
        <v>9.2799999999999994</v>
      </c>
      <c r="E37" s="9">
        <v>29</v>
      </c>
      <c r="F37" s="33">
        <f t="shared" si="1"/>
        <v>19.43</v>
      </c>
    </row>
    <row r="38" spans="1:6" x14ac:dyDescent="0.25">
      <c r="A38" s="1" t="s">
        <v>72</v>
      </c>
      <c r="B38" s="1" t="s">
        <v>73</v>
      </c>
      <c r="C38" s="5">
        <v>40.43</v>
      </c>
      <c r="D38" s="8">
        <f t="shared" si="2"/>
        <v>52.800000000000004</v>
      </c>
      <c r="E38" s="9">
        <v>165</v>
      </c>
      <c r="F38" s="33">
        <f t="shared" si="1"/>
        <v>110.55000000000001</v>
      </c>
    </row>
    <row r="39" spans="1:6" x14ac:dyDescent="0.25">
      <c r="A39" s="1" t="s">
        <v>74</v>
      </c>
      <c r="B39" s="1" t="s">
        <v>75</v>
      </c>
      <c r="C39" s="5">
        <v>32.340000000000003</v>
      </c>
      <c r="D39" s="8">
        <f t="shared" si="2"/>
        <v>32</v>
      </c>
      <c r="E39" s="10">
        <v>100</v>
      </c>
      <c r="F39" s="33">
        <f t="shared" si="1"/>
        <v>67</v>
      </c>
    </row>
    <row r="40" spans="1:6" x14ac:dyDescent="0.25">
      <c r="A40" s="1" t="s">
        <v>76</v>
      </c>
      <c r="B40" s="1" t="s">
        <v>77</v>
      </c>
      <c r="C40" s="5">
        <v>20.79</v>
      </c>
      <c r="D40" s="8">
        <f t="shared" si="2"/>
        <v>21.44</v>
      </c>
      <c r="E40" s="10">
        <v>67</v>
      </c>
      <c r="F40" s="33">
        <f t="shared" si="1"/>
        <v>44.89</v>
      </c>
    </row>
    <row r="41" spans="1:6" x14ac:dyDescent="0.25">
      <c r="A41" s="1" t="s">
        <v>78</v>
      </c>
      <c r="B41" s="1" t="s">
        <v>79</v>
      </c>
      <c r="C41" s="5">
        <v>3.3</v>
      </c>
      <c r="D41" s="8">
        <f t="shared" si="2"/>
        <v>5.44</v>
      </c>
      <c r="E41" s="9">
        <v>17</v>
      </c>
      <c r="F41" s="33">
        <f t="shared" si="1"/>
        <v>11.39</v>
      </c>
    </row>
    <row r="42" spans="1:6" x14ac:dyDescent="0.25">
      <c r="A42" s="1" t="s">
        <v>80</v>
      </c>
      <c r="B42" s="1" t="s">
        <v>81</v>
      </c>
      <c r="C42" s="5">
        <v>36.96</v>
      </c>
      <c r="D42" s="8">
        <f t="shared" si="2"/>
        <v>44.800000000000004</v>
      </c>
      <c r="E42" s="10">
        <v>140</v>
      </c>
      <c r="F42" s="33">
        <f t="shared" si="1"/>
        <v>93.800000000000011</v>
      </c>
    </row>
    <row r="43" spans="1:6" x14ac:dyDescent="0.25">
      <c r="A43" s="1" t="s">
        <v>82</v>
      </c>
      <c r="B43" s="1" t="s">
        <v>83</v>
      </c>
      <c r="C43" s="5">
        <v>17.05</v>
      </c>
      <c r="D43" s="8">
        <f t="shared" si="2"/>
        <v>20.8</v>
      </c>
      <c r="E43" s="10">
        <v>65</v>
      </c>
      <c r="F43" s="33">
        <f t="shared" si="1"/>
        <v>43.550000000000004</v>
      </c>
    </row>
    <row r="44" spans="1:6" x14ac:dyDescent="0.25">
      <c r="A44" s="1" t="s">
        <v>84</v>
      </c>
      <c r="B44" s="1" t="s">
        <v>85</v>
      </c>
      <c r="C44" s="5">
        <v>41.8</v>
      </c>
      <c r="D44" s="8">
        <f t="shared" si="2"/>
        <v>51.2</v>
      </c>
      <c r="E44" s="10">
        <v>160</v>
      </c>
      <c r="F44" s="33">
        <f t="shared" si="1"/>
        <v>107.2</v>
      </c>
    </row>
    <row r="45" spans="1:6" x14ac:dyDescent="0.25">
      <c r="A45" s="1" t="s">
        <v>86</v>
      </c>
      <c r="B45" s="1" t="s">
        <v>87</v>
      </c>
      <c r="C45" s="5">
        <v>34.65</v>
      </c>
      <c r="D45" s="8">
        <f t="shared" si="2"/>
        <v>36.800000000000004</v>
      </c>
      <c r="E45" s="9">
        <v>115</v>
      </c>
      <c r="F45" s="33">
        <f t="shared" si="1"/>
        <v>77.050000000000011</v>
      </c>
    </row>
    <row r="46" spans="1:6" x14ac:dyDescent="0.25">
      <c r="A46" s="1" t="s">
        <v>88</v>
      </c>
      <c r="B46" s="1" t="s">
        <v>89</v>
      </c>
      <c r="C46" s="5">
        <v>28.1</v>
      </c>
      <c r="D46" s="8">
        <f t="shared" si="2"/>
        <v>32</v>
      </c>
      <c r="E46" s="9">
        <v>100</v>
      </c>
      <c r="F46" s="33">
        <f t="shared" si="1"/>
        <v>67</v>
      </c>
    </row>
    <row r="47" spans="1:6" x14ac:dyDescent="0.25">
      <c r="A47" s="1" t="s">
        <v>90</v>
      </c>
      <c r="B47" s="1" t="s">
        <v>91</v>
      </c>
      <c r="C47" s="5">
        <v>33.369999999999997</v>
      </c>
      <c r="D47" s="8">
        <f t="shared" si="2"/>
        <v>40</v>
      </c>
      <c r="E47" s="10">
        <v>125</v>
      </c>
      <c r="F47" s="33">
        <f t="shared" si="1"/>
        <v>83.75</v>
      </c>
    </row>
    <row r="48" spans="1:6" x14ac:dyDescent="0.25">
      <c r="A48" s="1" t="s">
        <v>92</v>
      </c>
      <c r="B48" s="1" t="s">
        <v>93</v>
      </c>
      <c r="C48" s="5">
        <v>67.97</v>
      </c>
      <c r="D48" s="8">
        <f t="shared" si="2"/>
        <v>41.6</v>
      </c>
      <c r="E48" s="10">
        <v>130</v>
      </c>
      <c r="F48" s="33">
        <f t="shared" si="1"/>
        <v>87.100000000000009</v>
      </c>
    </row>
    <row r="49" spans="1:6" x14ac:dyDescent="0.25">
      <c r="A49" s="1" t="s">
        <v>94</v>
      </c>
      <c r="B49" s="1" t="s">
        <v>95</v>
      </c>
      <c r="C49" s="5">
        <v>34.31</v>
      </c>
      <c r="D49" s="8">
        <f t="shared" si="2"/>
        <v>27.2</v>
      </c>
      <c r="E49" s="10">
        <v>85</v>
      </c>
      <c r="F49" s="33">
        <f t="shared" si="1"/>
        <v>56.95</v>
      </c>
    </row>
    <row r="50" spans="1:6" x14ac:dyDescent="0.25">
      <c r="A50" s="1" t="s">
        <v>96</v>
      </c>
      <c r="B50" s="1" t="s">
        <v>97</v>
      </c>
      <c r="C50" s="5">
        <v>70</v>
      </c>
      <c r="D50" s="8">
        <f t="shared" si="2"/>
        <v>88</v>
      </c>
      <c r="E50" s="7">
        <v>275</v>
      </c>
      <c r="F50" s="33">
        <f t="shared" si="1"/>
        <v>184.25</v>
      </c>
    </row>
    <row r="51" spans="1:6" x14ac:dyDescent="0.25">
      <c r="A51" s="1" t="s">
        <v>98</v>
      </c>
      <c r="B51" s="1" t="s">
        <v>99</v>
      </c>
      <c r="C51" s="5">
        <v>36.380000000000003</v>
      </c>
      <c r="D51" s="8">
        <f t="shared" si="2"/>
        <v>33.6</v>
      </c>
      <c r="E51" s="10">
        <v>105</v>
      </c>
      <c r="F51" s="33">
        <f t="shared" si="1"/>
        <v>70.350000000000009</v>
      </c>
    </row>
    <row r="52" spans="1:6" x14ac:dyDescent="0.25">
      <c r="A52" s="1" t="s">
        <v>100</v>
      </c>
      <c r="B52" s="1" t="s">
        <v>101</v>
      </c>
      <c r="C52" s="5">
        <v>62.66</v>
      </c>
      <c r="D52" s="8">
        <f t="shared" si="2"/>
        <v>57.6</v>
      </c>
      <c r="E52" s="10">
        <v>180</v>
      </c>
      <c r="F52" s="33">
        <f t="shared" si="1"/>
        <v>120.60000000000001</v>
      </c>
    </row>
    <row r="53" spans="1:6" x14ac:dyDescent="0.25">
      <c r="A53" s="1" t="s">
        <v>102</v>
      </c>
      <c r="B53" s="1" t="s">
        <v>103</v>
      </c>
      <c r="C53" s="5">
        <v>155.93</v>
      </c>
      <c r="D53" s="8">
        <f t="shared" si="2"/>
        <v>153.6</v>
      </c>
      <c r="E53" s="10">
        <v>480</v>
      </c>
      <c r="F53" s="33">
        <f t="shared" si="1"/>
        <v>321.60000000000002</v>
      </c>
    </row>
    <row r="54" spans="1:6" x14ac:dyDescent="0.25">
      <c r="A54" s="1" t="s">
        <v>104</v>
      </c>
      <c r="B54" s="1" t="s">
        <v>105</v>
      </c>
      <c r="C54" s="5">
        <v>150</v>
      </c>
      <c r="D54" s="8">
        <f t="shared" si="2"/>
        <v>156.80000000000001</v>
      </c>
      <c r="E54" s="10">
        <v>490</v>
      </c>
      <c r="F54" s="33">
        <f t="shared" si="1"/>
        <v>328.3</v>
      </c>
    </row>
    <row r="55" spans="1:6" x14ac:dyDescent="0.25">
      <c r="A55" s="1" t="s">
        <v>106</v>
      </c>
      <c r="B55" s="1" t="s">
        <v>107</v>
      </c>
      <c r="C55" s="5">
        <v>200</v>
      </c>
      <c r="D55" s="8">
        <f t="shared" si="2"/>
        <v>198.4</v>
      </c>
      <c r="E55" s="10">
        <v>620</v>
      </c>
      <c r="F55" s="33">
        <f t="shared" si="1"/>
        <v>415.40000000000003</v>
      </c>
    </row>
    <row r="56" spans="1:6" x14ac:dyDescent="0.25">
      <c r="A56" s="1" t="s">
        <v>108</v>
      </c>
      <c r="B56" s="1" t="s">
        <v>109</v>
      </c>
      <c r="C56" s="5">
        <v>75.900000000000006</v>
      </c>
      <c r="D56" s="8">
        <f t="shared" si="2"/>
        <v>99.2</v>
      </c>
      <c r="E56" s="10">
        <v>310</v>
      </c>
      <c r="F56" s="33">
        <f t="shared" si="1"/>
        <v>207.70000000000002</v>
      </c>
    </row>
    <row r="57" spans="1:6" x14ac:dyDescent="0.25">
      <c r="A57" s="1" t="s">
        <v>110</v>
      </c>
      <c r="B57" s="1" t="s">
        <v>111</v>
      </c>
      <c r="C57" s="5">
        <v>10.4</v>
      </c>
      <c r="D57" s="8">
        <f t="shared" si="2"/>
        <v>10.24</v>
      </c>
      <c r="E57" s="10">
        <v>32</v>
      </c>
      <c r="F57" s="33">
        <f t="shared" si="1"/>
        <v>21.44</v>
      </c>
    </row>
    <row r="58" spans="1:6" x14ac:dyDescent="0.25">
      <c r="A58" s="1" t="s">
        <v>112</v>
      </c>
      <c r="B58" s="1" t="s">
        <v>113</v>
      </c>
      <c r="C58" s="5">
        <v>13</v>
      </c>
      <c r="D58" s="8">
        <f t="shared" si="2"/>
        <v>15.040000000000001</v>
      </c>
      <c r="E58" s="9">
        <v>47</v>
      </c>
      <c r="F58" s="33">
        <f t="shared" si="1"/>
        <v>31.490000000000002</v>
      </c>
    </row>
    <row r="59" spans="1:6" x14ac:dyDescent="0.25">
      <c r="A59" s="1" t="s">
        <v>114</v>
      </c>
      <c r="B59" s="1" t="s">
        <v>115</v>
      </c>
      <c r="C59" s="5">
        <v>24.26</v>
      </c>
      <c r="D59" s="8">
        <f t="shared" si="2"/>
        <v>27.2</v>
      </c>
      <c r="E59" s="10">
        <v>85</v>
      </c>
      <c r="F59" s="33">
        <f t="shared" si="1"/>
        <v>56.95</v>
      </c>
    </row>
    <row r="60" spans="1:6" x14ac:dyDescent="0.25">
      <c r="A60" s="1" t="s">
        <v>116</v>
      </c>
      <c r="B60" s="1" t="s">
        <v>117</v>
      </c>
      <c r="C60" s="5">
        <v>30</v>
      </c>
      <c r="D60" s="8">
        <f t="shared" si="2"/>
        <v>34.56</v>
      </c>
      <c r="E60" s="9">
        <v>108</v>
      </c>
      <c r="F60" s="33">
        <f t="shared" si="1"/>
        <v>72.36</v>
      </c>
    </row>
    <row r="61" spans="1:6" x14ac:dyDescent="0.25">
      <c r="A61" s="1" t="s">
        <v>118</v>
      </c>
      <c r="B61" s="1" t="s">
        <v>119</v>
      </c>
      <c r="C61" s="5">
        <v>8.09</v>
      </c>
      <c r="D61" s="8">
        <f t="shared" si="2"/>
        <v>16</v>
      </c>
      <c r="E61" s="9">
        <v>50</v>
      </c>
      <c r="F61" s="33">
        <f t="shared" si="1"/>
        <v>33.5</v>
      </c>
    </row>
    <row r="62" spans="1:6" x14ac:dyDescent="0.25">
      <c r="A62" s="1" t="s">
        <v>120</v>
      </c>
      <c r="B62" s="1" t="s">
        <v>121</v>
      </c>
      <c r="C62" s="5">
        <v>27.72</v>
      </c>
      <c r="D62" s="8">
        <f t="shared" si="2"/>
        <v>33.28</v>
      </c>
      <c r="E62" s="9">
        <v>104</v>
      </c>
      <c r="F62" s="33">
        <f t="shared" si="1"/>
        <v>69.680000000000007</v>
      </c>
    </row>
    <row r="63" spans="1:6" x14ac:dyDescent="0.25">
      <c r="A63" s="1" t="s">
        <v>122</v>
      </c>
      <c r="B63" s="1" t="s">
        <v>123</v>
      </c>
      <c r="C63" s="5">
        <v>462</v>
      </c>
      <c r="D63" s="8">
        <f t="shared" si="2"/>
        <v>478.72</v>
      </c>
      <c r="E63" s="9">
        <v>1496</v>
      </c>
      <c r="F63" s="33">
        <f t="shared" si="1"/>
        <v>1002.32</v>
      </c>
    </row>
    <row r="64" spans="1:6" x14ac:dyDescent="0.25">
      <c r="A64" s="1" t="s">
        <v>124</v>
      </c>
      <c r="B64" s="1" t="s">
        <v>125</v>
      </c>
      <c r="C64" s="5">
        <v>2.78</v>
      </c>
      <c r="D64" s="8">
        <f t="shared" si="2"/>
        <v>2.9663999999999997</v>
      </c>
      <c r="E64" s="9">
        <v>9.27</v>
      </c>
      <c r="F64" s="33">
        <f t="shared" si="1"/>
        <v>6.2108999999999996</v>
      </c>
    </row>
    <row r="65" spans="1:6" x14ac:dyDescent="0.25">
      <c r="A65" s="1" t="s">
        <v>126</v>
      </c>
      <c r="B65" s="1" t="s">
        <v>127</v>
      </c>
      <c r="C65" s="5">
        <v>80.849999999999994</v>
      </c>
      <c r="D65" s="8">
        <f t="shared" si="2"/>
        <v>89.600000000000009</v>
      </c>
      <c r="E65" s="10">
        <v>280</v>
      </c>
      <c r="F65" s="33">
        <f t="shared" si="1"/>
        <v>187.60000000000002</v>
      </c>
    </row>
    <row r="66" spans="1:6" x14ac:dyDescent="0.25">
      <c r="A66" s="1" t="s">
        <v>128</v>
      </c>
      <c r="B66" s="1" t="s">
        <v>129</v>
      </c>
      <c r="C66" s="5">
        <v>66</v>
      </c>
      <c r="D66" s="8">
        <f t="shared" si="2"/>
        <v>70.400000000000006</v>
      </c>
      <c r="E66" s="9">
        <v>220</v>
      </c>
      <c r="F66" s="33">
        <f t="shared" si="1"/>
        <v>147.4</v>
      </c>
    </row>
    <row r="67" spans="1:6" x14ac:dyDescent="0.25">
      <c r="A67" s="1" t="s">
        <v>130</v>
      </c>
      <c r="B67" s="1" t="s">
        <v>131</v>
      </c>
      <c r="C67" s="5">
        <v>52</v>
      </c>
      <c r="D67" s="8">
        <f t="shared" ref="D67:D98" si="3">E67*0.32</f>
        <v>55.465600000000002</v>
      </c>
      <c r="E67" s="9">
        <v>173.33</v>
      </c>
      <c r="F67" s="33">
        <f t="shared" si="1"/>
        <v>116.13110000000002</v>
      </c>
    </row>
    <row r="68" spans="1:6" x14ac:dyDescent="0.25">
      <c r="A68" s="1" t="s">
        <v>132</v>
      </c>
      <c r="B68" s="1" t="s">
        <v>133</v>
      </c>
      <c r="C68" s="5">
        <v>26.36</v>
      </c>
      <c r="D68" s="8">
        <f t="shared" si="3"/>
        <v>28.118400000000001</v>
      </c>
      <c r="E68" s="9">
        <v>87.87</v>
      </c>
      <c r="F68" s="33">
        <f t="shared" si="1"/>
        <v>58.872900000000008</v>
      </c>
    </row>
    <row r="69" spans="1:6" x14ac:dyDescent="0.25">
      <c r="A69" s="1" t="s">
        <v>134</v>
      </c>
      <c r="B69" s="1" t="s">
        <v>135</v>
      </c>
      <c r="C69" s="5">
        <v>22.66</v>
      </c>
      <c r="D69" s="8">
        <f t="shared" si="3"/>
        <v>24.169600000000003</v>
      </c>
      <c r="E69" s="9">
        <v>75.53</v>
      </c>
      <c r="F69" s="33">
        <f t="shared" ref="F69:F128" si="4">E69*0.67</f>
        <v>50.605100000000007</v>
      </c>
    </row>
    <row r="70" spans="1:6" x14ac:dyDescent="0.25">
      <c r="A70" s="1" t="s">
        <v>136</v>
      </c>
      <c r="B70" s="1" t="s">
        <v>137</v>
      </c>
      <c r="C70" s="5">
        <v>64.75</v>
      </c>
      <c r="D70" s="8">
        <f t="shared" si="3"/>
        <v>69.065600000000003</v>
      </c>
      <c r="E70" s="9">
        <v>215.83</v>
      </c>
      <c r="F70" s="33">
        <f t="shared" si="4"/>
        <v>144.60610000000003</v>
      </c>
    </row>
    <row r="71" spans="1:6" x14ac:dyDescent="0.25">
      <c r="A71" s="1" t="s">
        <v>138</v>
      </c>
      <c r="B71" s="1" t="s">
        <v>139</v>
      </c>
      <c r="C71" s="5">
        <v>72.77</v>
      </c>
      <c r="D71" s="8">
        <f t="shared" si="3"/>
        <v>54.4</v>
      </c>
      <c r="E71" s="10">
        <v>170</v>
      </c>
      <c r="F71" s="33">
        <f t="shared" si="4"/>
        <v>113.9</v>
      </c>
    </row>
    <row r="72" spans="1:6" x14ac:dyDescent="0.25">
      <c r="A72" s="1" t="s">
        <v>140</v>
      </c>
      <c r="B72" s="1" t="s">
        <v>141</v>
      </c>
      <c r="C72" s="5">
        <v>69.3</v>
      </c>
      <c r="D72" s="8">
        <f t="shared" si="3"/>
        <v>54.08</v>
      </c>
      <c r="E72" s="9">
        <v>169</v>
      </c>
      <c r="F72" s="33">
        <f t="shared" si="4"/>
        <v>113.23</v>
      </c>
    </row>
    <row r="73" spans="1:6" x14ac:dyDescent="0.25">
      <c r="A73" s="17" t="s">
        <v>142</v>
      </c>
      <c r="B73" s="18" t="s">
        <v>143</v>
      </c>
      <c r="C73" s="5">
        <v>96</v>
      </c>
      <c r="D73" s="8">
        <f t="shared" si="3"/>
        <v>96</v>
      </c>
      <c r="E73" s="11">
        <v>300</v>
      </c>
      <c r="F73" s="33">
        <f t="shared" si="4"/>
        <v>201</v>
      </c>
    </row>
    <row r="74" spans="1:6" x14ac:dyDescent="0.25">
      <c r="A74" s="17" t="s">
        <v>144</v>
      </c>
      <c r="B74" s="18" t="s">
        <v>145</v>
      </c>
      <c r="C74" s="6">
        <v>58.91</v>
      </c>
      <c r="D74" s="8">
        <f t="shared" si="3"/>
        <v>69.12</v>
      </c>
      <c r="E74" s="11">
        <v>216</v>
      </c>
      <c r="F74" s="33">
        <f t="shared" si="4"/>
        <v>144.72</v>
      </c>
    </row>
    <row r="75" spans="1:6" x14ac:dyDescent="0.25">
      <c r="A75" s="17" t="s">
        <v>146</v>
      </c>
      <c r="B75" s="18" t="s">
        <v>147</v>
      </c>
      <c r="C75" s="5">
        <v>59.2</v>
      </c>
      <c r="D75" s="8">
        <f t="shared" si="3"/>
        <v>59.2</v>
      </c>
      <c r="E75" s="11">
        <v>185</v>
      </c>
      <c r="F75" s="33">
        <f t="shared" si="4"/>
        <v>123.95</v>
      </c>
    </row>
    <row r="76" spans="1:6" x14ac:dyDescent="0.25">
      <c r="A76" s="17" t="s">
        <v>148</v>
      </c>
      <c r="B76" s="18" t="s">
        <v>149</v>
      </c>
      <c r="C76" s="5">
        <v>160</v>
      </c>
      <c r="D76" s="8">
        <f t="shared" si="3"/>
        <v>160</v>
      </c>
      <c r="E76" s="11">
        <v>500</v>
      </c>
      <c r="F76" s="33">
        <f t="shared" si="4"/>
        <v>335</v>
      </c>
    </row>
    <row r="77" spans="1:6" x14ac:dyDescent="0.25">
      <c r="A77" s="17" t="s">
        <v>150</v>
      </c>
      <c r="B77" s="18" t="s">
        <v>151</v>
      </c>
      <c r="C77" s="5">
        <v>59.2</v>
      </c>
      <c r="D77" s="8">
        <f t="shared" si="3"/>
        <v>59.2</v>
      </c>
      <c r="E77" s="11">
        <v>185</v>
      </c>
      <c r="F77" s="33">
        <f t="shared" si="4"/>
        <v>123.95</v>
      </c>
    </row>
    <row r="78" spans="1:6" x14ac:dyDescent="0.25">
      <c r="A78" s="17" t="s">
        <v>152</v>
      </c>
      <c r="B78" s="18" t="s">
        <v>153</v>
      </c>
      <c r="C78" s="5">
        <v>416</v>
      </c>
      <c r="D78" s="8">
        <f t="shared" si="3"/>
        <v>416</v>
      </c>
      <c r="E78" s="11">
        <v>1300</v>
      </c>
      <c r="F78" s="33">
        <f t="shared" si="4"/>
        <v>871</v>
      </c>
    </row>
    <row r="79" spans="1:6" x14ac:dyDescent="0.25">
      <c r="A79" t="s">
        <v>154</v>
      </c>
      <c r="B79" s="1" t="s">
        <v>155</v>
      </c>
      <c r="C79" s="5">
        <v>16.5</v>
      </c>
      <c r="D79" s="8">
        <f t="shared" si="3"/>
        <v>16</v>
      </c>
      <c r="E79" s="10">
        <v>50</v>
      </c>
      <c r="F79" s="33">
        <f t="shared" si="4"/>
        <v>33.5</v>
      </c>
    </row>
    <row r="80" spans="1:6" x14ac:dyDescent="0.25">
      <c r="A80" t="s">
        <v>156</v>
      </c>
      <c r="B80" s="1" t="s">
        <v>157</v>
      </c>
      <c r="C80" s="5">
        <v>75</v>
      </c>
      <c r="D80" s="8">
        <f t="shared" si="3"/>
        <v>80</v>
      </c>
      <c r="E80" s="10">
        <v>250</v>
      </c>
      <c r="F80" s="33">
        <f t="shared" si="4"/>
        <v>167.5</v>
      </c>
    </row>
    <row r="81" spans="1:6" x14ac:dyDescent="0.25">
      <c r="A81" t="s">
        <v>158</v>
      </c>
      <c r="B81" s="1" t="s">
        <v>159</v>
      </c>
      <c r="C81" s="6">
        <v>14.4</v>
      </c>
      <c r="D81" s="8">
        <f t="shared" si="3"/>
        <v>14.4</v>
      </c>
      <c r="E81" s="9">
        <v>45</v>
      </c>
      <c r="F81" s="33">
        <f t="shared" si="4"/>
        <v>30.150000000000002</v>
      </c>
    </row>
    <row r="82" spans="1:6" x14ac:dyDescent="0.25">
      <c r="A82" t="s">
        <v>160</v>
      </c>
      <c r="B82" s="1" t="s">
        <v>161</v>
      </c>
      <c r="C82" s="6">
        <v>12.71</v>
      </c>
      <c r="D82" s="8">
        <f t="shared" si="3"/>
        <v>12.16</v>
      </c>
      <c r="E82" s="9">
        <v>38</v>
      </c>
      <c r="F82" s="33">
        <f t="shared" si="4"/>
        <v>25.46</v>
      </c>
    </row>
    <row r="83" spans="1:6" x14ac:dyDescent="0.25">
      <c r="A83" t="s">
        <v>162</v>
      </c>
      <c r="B83" s="1" t="s">
        <v>163</v>
      </c>
      <c r="C83" s="6">
        <v>10.4</v>
      </c>
      <c r="D83" s="8">
        <f t="shared" si="3"/>
        <v>11.200000000000001</v>
      </c>
      <c r="E83" s="10">
        <v>35</v>
      </c>
      <c r="F83" s="33">
        <f t="shared" si="4"/>
        <v>23.450000000000003</v>
      </c>
    </row>
    <row r="84" spans="1:6" x14ac:dyDescent="0.25">
      <c r="A84" t="s">
        <v>164</v>
      </c>
      <c r="B84" s="1" t="s">
        <v>165</v>
      </c>
      <c r="C84" s="6">
        <v>8.09</v>
      </c>
      <c r="D84" s="8">
        <f t="shared" si="3"/>
        <v>8.64</v>
      </c>
      <c r="E84" s="9">
        <v>27</v>
      </c>
      <c r="F84" s="33">
        <f t="shared" si="4"/>
        <v>18.09</v>
      </c>
    </row>
    <row r="85" spans="1:6" x14ac:dyDescent="0.25">
      <c r="A85" t="s">
        <v>166</v>
      </c>
      <c r="B85" s="1" t="s">
        <v>167</v>
      </c>
      <c r="C85" s="6">
        <v>8.09</v>
      </c>
      <c r="D85" s="8">
        <f t="shared" si="3"/>
        <v>8.64</v>
      </c>
      <c r="E85" s="9">
        <v>27</v>
      </c>
      <c r="F85" s="33">
        <f t="shared" si="4"/>
        <v>18.09</v>
      </c>
    </row>
    <row r="86" spans="1:6" x14ac:dyDescent="0.25">
      <c r="A86" t="s">
        <v>168</v>
      </c>
      <c r="B86" s="1" t="s">
        <v>169</v>
      </c>
      <c r="C86" s="6">
        <v>12.48</v>
      </c>
      <c r="D86" s="8">
        <f t="shared" si="3"/>
        <v>12.48</v>
      </c>
      <c r="E86" s="9">
        <v>39</v>
      </c>
      <c r="F86" s="33">
        <f t="shared" si="4"/>
        <v>26.130000000000003</v>
      </c>
    </row>
    <row r="87" spans="1:6" x14ac:dyDescent="0.25">
      <c r="A87" t="s">
        <v>170</v>
      </c>
      <c r="B87" s="1" t="s">
        <v>171</v>
      </c>
      <c r="C87" s="6">
        <v>10.43</v>
      </c>
      <c r="D87" s="8">
        <f t="shared" si="3"/>
        <v>11.200000000000001</v>
      </c>
      <c r="E87" s="9">
        <v>35</v>
      </c>
      <c r="F87" s="33">
        <f t="shared" si="4"/>
        <v>23.450000000000003</v>
      </c>
    </row>
    <row r="88" spans="1:6" x14ac:dyDescent="0.25">
      <c r="A88" t="s">
        <v>172</v>
      </c>
      <c r="B88" s="1" t="s">
        <v>173</v>
      </c>
      <c r="C88" s="6">
        <v>21.44</v>
      </c>
      <c r="D88" s="8">
        <f t="shared" si="3"/>
        <v>21.44</v>
      </c>
      <c r="E88" s="9">
        <v>67</v>
      </c>
      <c r="F88" s="33">
        <f t="shared" si="4"/>
        <v>44.89</v>
      </c>
    </row>
    <row r="89" spans="1:6" x14ac:dyDescent="0.25">
      <c r="A89" s="17" t="s">
        <v>174</v>
      </c>
      <c r="B89" s="18" t="s">
        <v>175</v>
      </c>
      <c r="C89" s="5">
        <v>128</v>
      </c>
      <c r="D89" s="8">
        <f t="shared" si="3"/>
        <v>128</v>
      </c>
      <c r="E89" s="11">
        <v>400</v>
      </c>
      <c r="F89" s="33">
        <f t="shared" si="4"/>
        <v>268</v>
      </c>
    </row>
    <row r="90" spans="1:6" x14ac:dyDescent="0.25">
      <c r="A90" s="17" t="s">
        <v>176</v>
      </c>
      <c r="B90" s="18" t="s">
        <v>177</v>
      </c>
      <c r="C90" s="5">
        <v>112</v>
      </c>
      <c r="D90" s="8">
        <f t="shared" si="3"/>
        <v>112</v>
      </c>
      <c r="E90" s="11">
        <v>350</v>
      </c>
      <c r="F90" s="33">
        <f t="shared" si="4"/>
        <v>234.5</v>
      </c>
    </row>
    <row r="91" spans="1:6" x14ac:dyDescent="0.25">
      <c r="A91" s="1" t="s">
        <v>178</v>
      </c>
      <c r="B91" s="1" t="s">
        <v>179</v>
      </c>
      <c r="C91" s="5">
        <v>69.3</v>
      </c>
      <c r="D91" s="8">
        <f t="shared" si="3"/>
        <v>62.4</v>
      </c>
      <c r="E91" s="12">
        <v>195</v>
      </c>
      <c r="F91" s="33">
        <f t="shared" si="4"/>
        <v>130.65</v>
      </c>
    </row>
    <row r="92" spans="1:6" x14ac:dyDescent="0.25">
      <c r="A92" s="1" t="s">
        <v>180</v>
      </c>
      <c r="B92" s="1" t="s">
        <v>181</v>
      </c>
      <c r="C92" s="5">
        <v>120.7</v>
      </c>
      <c r="D92" s="8">
        <f t="shared" si="3"/>
        <v>88</v>
      </c>
      <c r="E92" s="12">
        <v>275</v>
      </c>
      <c r="F92" s="33">
        <f t="shared" si="4"/>
        <v>184.25</v>
      </c>
    </row>
    <row r="93" spans="1:6" x14ac:dyDescent="0.25">
      <c r="A93" s="1" t="s">
        <v>182</v>
      </c>
      <c r="B93" s="1" t="s">
        <v>183</v>
      </c>
      <c r="C93" s="5">
        <v>78.540000000000006</v>
      </c>
      <c r="D93" s="8">
        <f t="shared" si="3"/>
        <v>99.2</v>
      </c>
      <c r="E93" s="12">
        <v>310</v>
      </c>
      <c r="F93" s="33">
        <f t="shared" si="4"/>
        <v>207.70000000000002</v>
      </c>
    </row>
    <row r="94" spans="1:6" x14ac:dyDescent="0.25">
      <c r="A94" s="1" t="s">
        <v>184</v>
      </c>
      <c r="B94" s="1" t="s">
        <v>185</v>
      </c>
      <c r="C94" s="5">
        <v>48.51</v>
      </c>
      <c r="D94" s="8">
        <f t="shared" si="3"/>
        <v>54.4</v>
      </c>
      <c r="E94" s="12">
        <v>170</v>
      </c>
      <c r="F94" s="33">
        <f t="shared" si="4"/>
        <v>113.9</v>
      </c>
    </row>
    <row r="95" spans="1:6" x14ac:dyDescent="0.25">
      <c r="A95" s="1" t="s">
        <v>186</v>
      </c>
      <c r="B95" s="1" t="s">
        <v>187</v>
      </c>
      <c r="C95" s="5">
        <v>82.78</v>
      </c>
      <c r="D95" s="8">
        <f t="shared" si="3"/>
        <v>70.400000000000006</v>
      </c>
      <c r="E95" s="12">
        <v>220</v>
      </c>
      <c r="F95" s="33">
        <f t="shared" si="4"/>
        <v>147.4</v>
      </c>
    </row>
    <row r="96" spans="1:6" x14ac:dyDescent="0.25">
      <c r="A96" s="1" t="s">
        <v>188</v>
      </c>
      <c r="B96" s="1" t="s">
        <v>189</v>
      </c>
      <c r="C96" s="5">
        <v>70</v>
      </c>
      <c r="D96" s="8">
        <f t="shared" si="3"/>
        <v>88</v>
      </c>
      <c r="E96" s="12">
        <v>275</v>
      </c>
      <c r="F96" s="33">
        <f t="shared" si="4"/>
        <v>184.25</v>
      </c>
    </row>
    <row r="97" spans="1:6" x14ac:dyDescent="0.25">
      <c r="A97" s="1" t="s">
        <v>190</v>
      </c>
      <c r="B97" s="1" t="s">
        <v>191</v>
      </c>
      <c r="C97" s="5">
        <v>68</v>
      </c>
      <c r="D97" s="8">
        <f t="shared" si="3"/>
        <v>64</v>
      </c>
      <c r="E97" s="12">
        <v>200</v>
      </c>
      <c r="F97" s="33">
        <f t="shared" si="4"/>
        <v>134</v>
      </c>
    </row>
    <row r="98" spans="1:6" x14ac:dyDescent="0.25">
      <c r="A98" s="1" t="s">
        <v>192</v>
      </c>
      <c r="B98" s="1" t="s">
        <v>193</v>
      </c>
      <c r="C98" s="5">
        <v>100</v>
      </c>
      <c r="D98" s="8">
        <f t="shared" si="3"/>
        <v>107.2</v>
      </c>
      <c r="E98" s="11">
        <v>335</v>
      </c>
      <c r="F98" s="33">
        <f t="shared" si="4"/>
        <v>224.45000000000002</v>
      </c>
    </row>
    <row r="99" spans="1:6" x14ac:dyDescent="0.25">
      <c r="A99" s="1" t="s">
        <v>194</v>
      </c>
      <c r="B99" s="1" t="s">
        <v>195</v>
      </c>
      <c r="C99" s="5">
        <v>100</v>
      </c>
      <c r="D99" s="8">
        <f t="shared" ref="D99:D125" si="5">E99*0.32</f>
        <v>107.2</v>
      </c>
      <c r="E99" s="11">
        <v>335</v>
      </c>
      <c r="F99" s="33">
        <f t="shared" si="4"/>
        <v>224.45000000000002</v>
      </c>
    </row>
    <row r="100" spans="1:6" x14ac:dyDescent="0.25">
      <c r="A100" s="1" t="s">
        <v>196</v>
      </c>
      <c r="B100" s="1" t="s">
        <v>197</v>
      </c>
      <c r="C100" s="5">
        <v>115</v>
      </c>
      <c r="D100" s="8">
        <f t="shared" si="5"/>
        <v>126.4</v>
      </c>
      <c r="E100" s="11">
        <v>395</v>
      </c>
      <c r="F100" s="33">
        <f t="shared" si="4"/>
        <v>264.65000000000003</v>
      </c>
    </row>
    <row r="101" spans="1:6" x14ac:dyDescent="0.25">
      <c r="A101" s="1" t="s">
        <v>198</v>
      </c>
      <c r="B101" s="1" t="s">
        <v>199</v>
      </c>
      <c r="C101" s="4">
        <v>130</v>
      </c>
      <c r="D101" s="8">
        <f t="shared" si="5"/>
        <v>140.80000000000001</v>
      </c>
      <c r="E101" s="12">
        <v>440</v>
      </c>
      <c r="F101" s="33">
        <f t="shared" si="4"/>
        <v>294.8</v>
      </c>
    </row>
    <row r="102" spans="1:6" x14ac:dyDescent="0.25">
      <c r="A102" s="1" t="s">
        <v>200</v>
      </c>
      <c r="B102" s="1" t="s">
        <v>201</v>
      </c>
      <c r="C102" s="5">
        <v>78.83</v>
      </c>
      <c r="D102" s="8">
        <f t="shared" si="5"/>
        <v>80</v>
      </c>
      <c r="E102" s="12">
        <v>250</v>
      </c>
      <c r="F102" s="33">
        <f t="shared" si="4"/>
        <v>167.5</v>
      </c>
    </row>
    <row r="103" spans="1:6" x14ac:dyDescent="0.25">
      <c r="A103" s="1" t="s">
        <v>202</v>
      </c>
      <c r="B103" s="1" t="s">
        <v>203</v>
      </c>
      <c r="C103" s="5">
        <v>72.77</v>
      </c>
      <c r="D103" s="8">
        <f t="shared" si="5"/>
        <v>73.600000000000009</v>
      </c>
      <c r="E103" s="12">
        <v>230</v>
      </c>
      <c r="F103" s="33">
        <f t="shared" si="4"/>
        <v>154.10000000000002</v>
      </c>
    </row>
    <row r="104" spans="1:6" x14ac:dyDescent="0.25">
      <c r="A104" s="1" t="s">
        <v>204</v>
      </c>
      <c r="B104" s="1" t="s">
        <v>205</v>
      </c>
      <c r="C104" s="5">
        <v>23.1</v>
      </c>
      <c r="D104" s="8">
        <f t="shared" si="5"/>
        <v>22.400000000000002</v>
      </c>
      <c r="E104" s="12">
        <v>70</v>
      </c>
      <c r="F104" s="33">
        <f t="shared" si="4"/>
        <v>46.900000000000006</v>
      </c>
    </row>
    <row r="105" spans="1:6" x14ac:dyDescent="0.25">
      <c r="A105" s="1" t="s">
        <v>206</v>
      </c>
      <c r="B105" s="1" t="s">
        <v>207</v>
      </c>
      <c r="C105" s="5">
        <v>23.1</v>
      </c>
      <c r="D105" s="8">
        <f t="shared" si="5"/>
        <v>24</v>
      </c>
      <c r="E105" s="11">
        <v>75</v>
      </c>
      <c r="F105" s="33">
        <f t="shared" si="4"/>
        <v>50.25</v>
      </c>
    </row>
    <row r="106" spans="1:6" x14ac:dyDescent="0.25">
      <c r="A106" s="1" t="s">
        <v>208</v>
      </c>
      <c r="B106" s="1" t="s">
        <v>209</v>
      </c>
      <c r="C106" s="5">
        <v>29.7</v>
      </c>
      <c r="D106" s="8">
        <f t="shared" si="5"/>
        <v>28.8</v>
      </c>
      <c r="E106" s="12">
        <v>90</v>
      </c>
      <c r="F106" s="33">
        <f t="shared" si="4"/>
        <v>60.300000000000004</v>
      </c>
    </row>
    <row r="107" spans="1:6" x14ac:dyDescent="0.25">
      <c r="A107" s="1" t="s">
        <v>210</v>
      </c>
      <c r="B107" s="1" t="s">
        <v>211</v>
      </c>
      <c r="C107" s="5">
        <v>34.65</v>
      </c>
      <c r="D107" s="8">
        <f t="shared" si="5"/>
        <v>36.800000000000004</v>
      </c>
      <c r="E107" s="12">
        <v>115</v>
      </c>
      <c r="F107" s="33">
        <f t="shared" si="4"/>
        <v>77.050000000000011</v>
      </c>
    </row>
    <row r="108" spans="1:6" x14ac:dyDescent="0.25">
      <c r="A108" s="1" t="s">
        <v>212</v>
      </c>
      <c r="B108" s="1" t="s">
        <v>213</v>
      </c>
      <c r="C108" s="5">
        <v>34.65</v>
      </c>
      <c r="D108" s="8">
        <f t="shared" si="5"/>
        <v>41.6</v>
      </c>
      <c r="E108" s="12">
        <v>130</v>
      </c>
      <c r="F108" s="33">
        <f t="shared" si="4"/>
        <v>87.100000000000009</v>
      </c>
    </row>
    <row r="109" spans="1:6" x14ac:dyDescent="0.25">
      <c r="A109" s="1" t="s">
        <v>214</v>
      </c>
      <c r="B109" s="1" t="s">
        <v>215</v>
      </c>
      <c r="C109" s="5">
        <v>31.53</v>
      </c>
      <c r="D109" s="8">
        <f t="shared" si="5"/>
        <v>35.200000000000003</v>
      </c>
      <c r="E109" s="12">
        <v>110</v>
      </c>
      <c r="F109" s="33">
        <f t="shared" si="4"/>
        <v>73.7</v>
      </c>
    </row>
    <row r="110" spans="1:6" x14ac:dyDescent="0.25">
      <c r="A110" s="1" t="s">
        <v>216</v>
      </c>
      <c r="B110" s="1" t="s">
        <v>217</v>
      </c>
      <c r="C110" s="5">
        <v>72.77</v>
      </c>
      <c r="D110" s="8">
        <f t="shared" si="5"/>
        <v>76.8</v>
      </c>
      <c r="E110" s="12">
        <v>240</v>
      </c>
      <c r="F110" s="33">
        <f t="shared" si="4"/>
        <v>160.80000000000001</v>
      </c>
    </row>
    <row r="111" spans="1:6" x14ac:dyDescent="0.25">
      <c r="A111" s="1" t="s">
        <v>218</v>
      </c>
      <c r="B111" s="1" t="s">
        <v>219</v>
      </c>
      <c r="C111" s="5">
        <v>26.57</v>
      </c>
      <c r="D111" s="8">
        <f t="shared" si="5"/>
        <v>20.16</v>
      </c>
      <c r="E111" s="12">
        <v>63</v>
      </c>
      <c r="F111" s="33">
        <f t="shared" si="4"/>
        <v>42.21</v>
      </c>
    </row>
    <row r="112" spans="1:6" x14ac:dyDescent="0.25">
      <c r="A112" s="1" t="s">
        <v>220</v>
      </c>
      <c r="B112" s="1" t="s">
        <v>221</v>
      </c>
      <c r="C112" s="5">
        <v>116.66</v>
      </c>
      <c r="D112" s="8">
        <f t="shared" si="5"/>
        <v>115.2</v>
      </c>
      <c r="E112" s="12">
        <v>360</v>
      </c>
      <c r="F112" s="33">
        <f t="shared" si="4"/>
        <v>241.20000000000002</v>
      </c>
    </row>
    <row r="113" spans="1:6" x14ac:dyDescent="0.25">
      <c r="A113" s="1" t="s">
        <v>222</v>
      </c>
      <c r="B113" s="1" t="s">
        <v>223</v>
      </c>
      <c r="C113" s="5">
        <v>155.93</v>
      </c>
      <c r="D113" s="8">
        <f t="shared" si="5"/>
        <v>144</v>
      </c>
      <c r="E113" s="12">
        <v>450</v>
      </c>
      <c r="F113" s="33">
        <f t="shared" si="4"/>
        <v>301.5</v>
      </c>
    </row>
    <row r="114" spans="1:6" x14ac:dyDescent="0.25">
      <c r="A114" s="1" t="s">
        <v>224</v>
      </c>
      <c r="B114" s="1" t="s">
        <v>225</v>
      </c>
      <c r="C114" s="5">
        <v>51.98</v>
      </c>
      <c r="D114" s="8">
        <f t="shared" si="5"/>
        <v>44.800000000000004</v>
      </c>
      <c r="E114" s="12">
        <v>140</v>
      </c>
      <c r="F114" s="33">
        <f t="shared" si="4"/>
        <v>93.800000000000011</v>
      </c>
    </row>
    <row r="115" spans="1:6" x14ac:dyDescent="0.25">
      <c r="A115" s="1" t="s">
        <v>226</v>
      </c>
      <c r="B115" s="1" t="s">
        <v>227</v>
      </c>
      <c r="C115" s="5">
        <v>72.77</v>
      </c>
      <c r="D115" s="8">
        <f t="shared" si="5"/>
        <v>48</v>
      </c>
      <c r="E115" s="12">
        <v>150</v>
      </c>
      <c r="F115" s="33">
        <f t="shared" si="4"/>
        <v>100.5</v>
      </c>
    </row>
    <row r="116" spans="1:6" x14ac:dyDescent="0.25">
      <c r="A116" s="1" t="s">
        <v>228</v>
      </c>
      <c r="B116" s="1" t="s">
        <v>229</v>
      </c>
      <c r="C116" s="5">
        <v>50.82</v>
      </c>
      <c r="D116" s="8">
        <f t="shared" si="5"/>
        <v>52.800000000000004</v>
      </c>
      <c r="E116" s="12">
        <v>165</v>
      </c>
      <c r="F116" s="33">
        <f t="shared" si="4"/>
        <v>110.55000000000001</v>
      </c>
    </row>
    <row r="117" spans="1:6" x14ac:dyDescent="0.25">
      <c r="A117" s="1" t="s">
        <v>230</v>
      </c>
      <c r="B117" s="1" t="s">
        <v>231</v>
      </c>
      <c r="C117" s="5">
        <v>25.41</v>
      </c>
      <c r="D117" s="8">
        <f t="shared" si="5"/>
        <v>27.2</v>
      </c>
      <c r="E117" s="12">
        <v>85</v>
      </c>
      <c r="F117" s="33">
        <f t="shared" si="4"/>
        <v>56.95</v>
      </c>
    </row>
    <row r="118" spans="1:6" x14ac:dyDescent="0.25">
      <c r="A118" s="1" t="s">
        <v>232</v>
      </c>
      <c r="B118" s="1" t="s">
        <v>233</v>
      </c>
      <c r="C118" s="5">
        <v>25.41</v>
      </c>
      <c r="D118" s="8">
        <f t="shared" si="5"/>
        <v>22.400000000000002</v>
      </c>
      <c r="E118" s="12">
        <v>70</v>
      </c>
      <c r="F118" s="33">
        <f t="shared" si="4"/>
        <v>46.900000000000006</v>
      </c>
    </row>
    <row r="119" spans="1:6" x14ac:dyDescent="0.25">
      <c r="A119" s="1" t="s">
        <v>234</v>
      </c>
      <c r="B119" s="1" t="s">
        <v>235</v>
      </c>
      <c r="C119" s="5">
        <v>19.64</v>
      </c>
      <c r="D119" s="8">
        <f t="shared" si="5"/>
        <v>19.84</v>
      </c>
      <c r="E119" s="11">
        <v>62</v>
      </c>
      <c r="F119" s="33">
        <f t="shared" si="4"/>
        <v>41.54</v>
      </c>
    </row>
    <row r="120" spans="1:6" x14ac:dyDescent="0.25">
      <c r="A120" s="1" t="s">
        <v>236</v>
      </c>
      <c r="B120" s="1" t="s">
        <v>237</v>
      </c>
      <c r="C120" s="5">
        <v>82.47</v>
      </c>
      <c r="D120" s="8">
        <f t="shared" si="5"/>
        <v>64</v>
      </c>
      <c r="E120" s="12">
        <v>200</v>
      </c>
      <c r="F120" s="33">
        <f t="shared" si="4"/>
        <v>134</v>
      </c>
    </row>
    <row r="121" spans="1:6" x14ac:dyDescent="0.25">
      <c r="A121" s="1" t="s">
        <v>238</v>
      </c>
      <c r="B121" s="1" t="s">
        <v>239</v>
      </c>
      <c r="C121" s="5">
        <v>45.15</v>
      </c>
      <c r="D121" s="8">
        <f t="shared" si="5"/>
        <v>46.4</v>
      </c>
      <c r="E121" s="13">
        <v>145</v>
      </c>
      <c r="F121" s="33">
        <f t="shared" si="4"/>
        <v>97.15</v>
      </c>
    </row>
    <row r="122" spans="1:6" x14ac:dyDescent="0.25">
      <c r="A122" s="1" t="s">
        <v>240</v>
      </c>
      <c r="B122" s="1" t="s">
        <v>241</v>
      </c>
      <c r="C122" s="5">
        <v>34.65</v>
      </c>
      <c r="D122" s="8">
        <f t="shared" si="5"/>
        <v>32</v>
      </c>
      <c r="E122" s="12">
        <v>100</v>
      </c>
      <c r="F122" s="33">
        <f t="shared" si="4"/>
        <v>67</v>
      </c>
    </row>
    <row r="123" spans="1:6" x14ac:dyDescent="0.25">
      <c r="A123" s="1" t="s">
        <v>242</v>
      </c>
      <c r="B123" s="1" t="s">
        <v>243</v>
      </c>
      <c r="C123" s="5">
        <v>34.65</v>
      </c>
      <c r="D123" s="8">
        <f t="shared" si="5"/>
        <v>28.8</v>
      </c>
      <c r="E123" s="12">
        <v>90</v>
      </c>
      <c r="F123" s="33">
        <f t="shared" si="4"/>
        <v>60.300000000000004</v>
      </c>
    </row>
    <row r="124" spans="1:6" x14ac:dyDescent="0.25">
      <c r="A124" s="1" t="s">
        <v>244</v>
      </c>
      <c r="B124" s="1" t="s">
        <v>245</v>
      </c>
      <c r="C124" s="5">
        <v>34.65</v>
      </c>
      <c r="D124" s="8">
        <f t="shared" si="5"/>
        <v>30.400000000000002</v>
      </c>
      <c r="E124" s="12">
        <v>95</v>
      </c>
      <c r="F124" s="33">
        <f t="shared" si="4"/>
        <v>63.650000000000006</v>
      </c>
    </row>
    <row r="125" spans="1:6" x14ac:dyDescent="0.25">
      <c r="A125" s="17" t="s">
        <v>257</v>
      </c>
      <c r="B125" s="17" t="s">
        <v>250</v>
      </c>
      <c r="D125" s="8">
        <f t="shared" si="5"/>
        <v>19.2</v>
      </c>
      <c r="E125" s="12">
        <v>60</v>
      </c>
      <c r="F125" s="33">
        <f t="shared" si="4"/>
        <v>40.200000000000003</v>
      </c>
    </row>
    <row r="126" spans="1:6" x14ac:dyDescent="0.25">
      <c r="A126" s="17" t="s">
        <v>251</v>
      </c>
      <c r="B126" s="17" t="s">
        <v>252</v>
      </c>
      <c r="D126" s="8">
        <f t="shared" ref="D126:D128" si="6">E126*0.32</f>
        <v>19.2</v>
      </c>
      <c r="E126" s="12">
        <v>60</v>
      </c>
      <c r="F126" s="33">
        <f t="shared" si="4"/>
        <v>40.200000000000003</v>
      </c>
    </row>
    <row r="127" spans="1:6" x14ac:dyDescent="0.25">
      <c r="A127" s="17" t="s">
        <v>253</v>
      </c>
      <c r="B127" s="17" t="s">
        <v>254</v>
      </c>
      <c r="D127" s="8">
        <f t="shared" si="6"/>
        <v>28.16</v>
      </c>
      <c r="E127" s="12">
        <v>88</v>
      </c>
      <c r="F127" s="33">
        <f t="shared" si="4"/>
        <v>58.96</v>
      </c>
    </row>
    <row r="128" spans="1:6" x14ac:dyDescent="0.25">
      <c r="A128" s="17" t="s">
        <v>255</v>
      </c>
      <c r="B128" s="17" t="s">
        <v>256</v>
      </c>
      <c r="D128" s="8">
        <f t="shared" si="6"/>
        <v>28.16</v>
      </c>
      <c r="E128" s="12">
        <v>88</v>
      </c>
      <c r="F128" s="33">
        <f t="shared" si="4"/>
        <v>58.96</v>
      </c>
    </row>
  </sheetData>
  <autoFilter ref="A2:E2" xr:uid="{119F34D6-03A8-4690-BBA6-87FEDAC1968C}"/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0E3F-31F5-4902-ABE6-AE0F2EE9FFD9}">
  <dimension ref="A1:C187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17" bestFit="1" customWidth="1"/>
    <col min="2" max="2" width="7.85546875" bestFit="1" customWidth="1"/>
    <col min="3" max="3" width="11" bestFit="1" customWidth="1"/>
  </cols>
  <sheetData>
    <row r="1" spans="1:3" ht="30" x14ac:dyDescent="0.25">
      <c r="A1" s="19" t="s">
        <v>0</v>
      </c>
      <c r="B1" s="20" t="s">
        <v>258</v>
      </c>
      <c r="C1" s="21" t="s">
        <v>259</v>
      </c>
    </row>
    <row r="2" spans="1:3" x14ac:dyDescent="0.25">
      <c r="A2" s="22" t="s">
        <v>260</v>
      </c>
      <c r="B2" s="23">
        <v>0.7</v>
      </c>
      <c r="C2" s="24">
        <v>8507202090</v>
      </c>
    </row>
    <row r="3" spans="1:3" x14ac:dyDescent="0.25">
      <c r="A3" s="22" t="s">
        <v>261</v>
      </c>
      <c r="B3" s="23">
        <v>0.13</v>
      </c>
      <c r="C3" s="24">
        <v>8507202090</v>
      </c>
    </row>
    <row r="4" spans="1:3" x14ac:dyDescent="0.25">
      <c r="A4" s="22" t="s">
        <v>262</v>
      </c>
      <c r="B4" s="23">
        <v>5.1999999999999998E-2</v>
      </c>
      <c r="C4" s="24">
        <v>8507202090</v>
      </c>
    </row>
    <row r="5" spans="1:3" x14ac:dyDescent="0.25">
      <c r="A5" s="22" t="s">
        <v>2</v>
      </c>
      <c r="B5" s="23">
        <v>0.05</v>
      </c>
      <c r="C5" s="24">
        <v>8507202090</v>
      </c>
    </row>
    <row r="6" spans="1:3" x14ac:dyDescent="0.25">
      <c r="A6" s="22" t="s">
        <v>263</v>
      </c>
      <c r="B6" s="23">
        <v>0.09</v>
      </c>
      <c r="C6" s="24">
        <v>8536508099</v>
      </c>
    </row>
    <row r="7" spans="1:3" x14ac:dyDescent="0.25">
      <c r="A7" s="22" t="s">
        <v>264</v>
      </c>
      <c r="B7" s="23">
        <v>0.185</v>
      </c>
      <c r="C7" s="24">
        <v>8536508099</v>
      </c>
    </row>
    <row r="8" spans="1:3" x14ac:dyDescent="0.25">
      <c r="A8" s="22" t="s">
        <v>265</v>
      </c>
      <c r="B8" s="23">
        <v>0.16</v>
      </c>
      <c r="C8" s="24">
        <v>8536508099</v>
      </c>
    </row>
    <row r="9" spans="1:3" x14ac:dyDescent="0.25">
      <c r="A9" s="22" t="s">
        <v>266</v>
      </c>
      <c r="B9" s="23">
        <v>0.16400000000000001</v>
      </c>
      <c r="C9" s="24">
        <v>8536508099</v>
      </c>
    </row>
    <row r="10" spans="1:3" x14ac:dyDescent="0.25">
      <c r="A10" s="22" t="s">
        <v>267</v>
      </c>
      <c r="B10" s="23">
        <v>0.2</v>
      </c>
      <c r="C10" s="24">
        <v>8536508099</v>
      </c>
    </row>
    <row r="11" spans="1:3" x14ac:dyDescent="0.25">
      <c r="A11" s="22" t="s">
        <v>268</v>
      </c>
      <c r="B11" s="23">
        <v>6.0000000000000001E-3</v>
      </c>
      <c r="C11" s="24">
        <v>8531900000</v>
      </c>
    </row>
    <row r="12" spans="1:3" x14ac:dyDescent="0.25">
      <c r="A12" s="22" t="s">
        <v>269</v>
      </c>
      <c r="B12" s="23">
        <v>6.0000000000000001E-3</v>
      </c>
      <c r="C12" s="24">
        <v>8531900000</v>
      </c>
    </row>
    <row r="13" spans="1:3" x14ac:dyDescent="0.25">
      <c r="A13" s="22" t="s">
        <v>270</v>
      </c>
      <c r="B13" s="23">
        <v>6.0000000000000001E-3</v>
      </c>
      <c r="C13" s="24">
        <v>8531900000</v>
      </c>
    </row>
    <row r="14" spans="1:3" x14ac:dyDescent="0.25">
      <c r="A14" s="22" t="s">
        <v>271</v>
      </c>
      <c r="B14" s="23">
        <v>0.34</v>
      </c>
      <c r="C14" s="24">
        <v>8531900000</v>
      </c>
    </row>
    <row r="15" spans="1:3" x14ac:dyDescent="0.25">
      <c r="A15" s="22" t="s">
        <v>20</v>
      </c>
      <c r="B15" s="23">
        <v>0.155</v>
      </c>
      <c r="C15" s="24">
        <v>8531900000</v>
      </c>
    </row>
    <row r="16" spans="1:3" x14ac:dyDescent="0.25">
      <c r="A16" s="22" t="s">
        <v>22</v>
      </c>
      <c r="B16" s="23">
        <v>0.155</v>
      </c>
      <c r="C16" s="24">
        <v>8531900000</v>
      </c>
    </row>
    <row r="17" spans="1:3" x14ac:dyDescent="0.25">
      <c r="A17" s="22" t="s">
        <v>24</v>
      </c>
      <c r="B17" s="23">
        <v>5.8000000000000003E-2</v>
      </c>
      <c r="C17" s="24">
        <v>8531900000</v>
      </c>
    </row>
    <row r="18" spans="1:3" x14ac:dyDescent="0.25">
      <c r="A18" s="22" t="s">
        <v>26</v>
      </c>
      <c r="B18" s="23">
        <v>0.02</v>
      </c>
      <c r="C18" s="24">
        <v>8531900000</v>
      </c>
    </row>
    <row r="19" spans="1:3" x14ac:dyDescent="0.25">
      <c r="A19" s="22" t="s">
        <v>272</v>
      </c>
      <c r="B19" s="23">
        <v>0.02</v>
      </c>
      <c r="C19" s="24">
        <v>8531900000</v>
      </c>
    </row>
    <row r="20" spans="1:3" x14ac:dyDescent="0.25">
      <c r="A20" s="22" t="s">
        <v>273</v>
      </c>
      <c r="B20" s="23">
        <v>6.5000000000000002E-2</v>
      </c>
      <c r="C20" s="24">
        <v>8531900000</v>
      </c>
    </row>
    <row r="21" spans="1:3" x14ac:dyDescent="0.25">
      <c r="A21" s="22" t="s">
        <v>274</v>
      </c>
      <c r="B21" s="23">
        <v>7.1999999999999995E-2</v>
      </c>
      <c r="C21" s="24">
        <v>8531900000</v>
      </c>
    </row>
    <row r="22" spans="1:3" x14ac:dyDescent="0.25">
      <c r="A22" s="22" t="s">
        <v>28</v>
      </c>
      <c r="B22" s="23" t="s">
        <v>275</v>
      </c>
      <c r="C22" s="24">
        <v>8531900000</v>
      </c>
    </row>
    <row r="23" spans="1:3" x14ac:dyDescent="0.25">
      <c r="A23" s="22" t="s">
        <v>276</v>
      </c>
      <c r="B23" s="23">
        <v>3.0000000000000001E-3</v>
      </c>
      <c r="C23" s="24">
        <v>8531900000</v>
      </c>
    </row>
    <row r="24" spans="1:3" x14ac:dyDescent="0.25">
      <c r="A24" s="22" t="s">
        <v>30</v>
      </c>
      <c r="B24" s="23">
        <v>0.41</v>
      </c>
      <c r="C24" s="24">
        <v>8531900000</v>
      </c>
    </row>
    <row r="25" spans="1:3" x14ac:dyDescent="0.25">
      <c r="A25" s="22" t="s">
        <v>32</v>
      </c>
      <c r="B25" s="23">
        <v>0.02</v>
      </c>
      <c r="C25" s="24">
        <v>8531900000</v>
      </c>
    </row>
    <row r="26" spans="1:3" x14ac:dyDescent="0.25">
      <c r="A26" s="22" t="s">
        <v>277</v>
      </c>
      <c r="B26" s="23">
        <v>0.02</v>
      </c>
      <c r="C26" s="24">
        <v>8531900000</v>
      </c>
    </row>
    <row r="27" spans="1:3" x14ac:dyDescent="0.25">
      <c r="A27" s="22" t="s">
        <v>34</v>
      </c>
      <c r="B27" s="23">
        <v>0.02</v>
      </c>
      <c r="C27" s="24">
        <v>8531900000</v>
      </c>
    </row>
    <row r="28" spans="1:3" x14ac:dyDescent="0.25">
      <c r="A28" s="22" t="s">
        <v>36</v>
      </c>
      <c r="B28" s="23">
        <v>0.05</v>
      </c>
      <c r="C28" s="24">
        <v>8531900000</v>
      </c>
    </row>
    <row r="29" spans="1:3" x14ac:dyDescent="0.25">
      <c r="A29" s="22" t="s">
        <v>278</v>
      </c>
      <c r="B29" s="23">
        <v>0.05</v>
      </c>
      <c r="C29" s="24">
        <v>8531900000</v>
      </c>
    </row>
    <row r="30" spans="1:3" x14ac:dyDescent="0.25">
      <c r="A30" s="22" t="s">
        <v>38</v>
      </c>
      <c r="B30" s="23">
        <v>0.05</v>
      </c>
      <c r="C30" s="24">
        <v>8531900000</v>
      </c>
    </row>
    <row r="31" spans="1:3" x14ac:dyDescent="0.25">
      <c r="A31" s="22" t="s">
        <v>279</v>
      </c>
      <c r="B31" s="23">
        <v>1.4999999999999999E-2</v>
      </c>
      <c r="C31" s="24">
        <v>8505110099</v>
      </c>
    </row>
    <row r="32" spans="1:3" x14ac:dyDescent="0.25">
      <c r="A32" s="22" t="s">
        <v>280</v>
      </c>
      <c r="B32" s="23">
        <v>1.4999999999999999E-2</v>
      </c>
      <c r="C32" s="24">
        <v>8505110099</v>
      </c>
    </row>
    <row r="33" spans="1:3" x14ac:dyDescent="0.25">
      <c r="A33" s="22" t="s">
        <v>281</v>
      </c>
      <c r="B33" s="23">
        <v>1.4999999999999999E-2</v>
      </c>
      <c r="C33" s="24">
        <v>8505110099</v>
      </c>
    </row>
    <row r="34" spans="1:3" x14ac:dyDescent="0.25">
      <c r="A34" s="22" t="s">
        <v>282</v>
      </c>
      <c r="B34" s="23">
        <v>0.04</v>
      </c>
      <c r="C34" s="24">
        <v>8505110099</v>
      </c>
    </row>
    <row r="35" spans="1:3" x14ac:dyDescent="0.25">
      <c r="A35" s="22" t="s">
        <v>283</v>
      </c>
      <c r="B35" s="23">
        <v>0.04</v>
      </c>
      <c r="C35" s="24">
        <v>8505110099</v>
      </c>
    </row>
    <row r="36" spans="1:3" x14ac:dyDescent="0.25">
      <c r="A36" s="22" t="s">
        <v>284</v>
      </c>
      <c r="B36" s="23">
        <v>0.04</v>
      </c>
      <c r="C36" s="24">
        <v>8505110099</v>
      </c>
    </row>
    <row r="37" spans="1:3" x14ac:dyDescent="0.25">
      <c r="A37" s="22" t="s">
        <v>285</v>
      </c>
      <c r="B37" s="25">
        <v>3.5000000000000003E-2</v>
      </c>
      <c r="C37" s="24">
        <v>8531900000</v>
      </c>
    </row>
    <row r="38" spans="1:3" x14ac:dyDescent="0.25">
      <c r="A38" s="22" t="s">
        <v>286</v>
      </c>
      <c r="B38" s="25">
        <v>0.05</v>
      </c>
      <c r="C38" s="24">
        <v>8531900000</v>
      </c>
    </row>
    <row r="39" spans="1:3" x14ac:dyDescent="0.25">
      <c r="A39" s="22" t="s">
        <v>287</v>
      </c>
      <c r="B39" s="25">
        <v>0.08</v>
      </c>
      <c r="C39" s="24">
        <v>8531900000</v>
      </c>
    </row>
    <row r="40" spans="1:3" x14ac:dyDescent="0.25">
      <c r="A40" s="22" t="s">
        <v>288</v>
      </c>
      <c r="B40" s="25">
        <v>7.0000000000000007E-2</v>
      </c>
      <c r="C40" s="24">
        <v>8531900000</v>
      </c>
    </row>
    <row r="41" spans="1:3" x14ac:dyDescent="0.25">
      <c r="A41" s="22" t="s">
        <v>289</v>
      </c>
      <c r="B41" s="25">
        <v>0.05</v>
      </c>
      <c r="C41" s="24">
        <v>8531900000</v>
      </c>
    </row>
    <row r="42" spans="1:3" x14ac:dyDescent="0.25">
      <c r="A42" s="22" t="s">
        <v>40</v>
      </c>
      <c r="B42" s="23">
        <v>0.1</v>
      </c>
      <c r="C42" s="24">
        <v>8531900000</v>
      </c>
    </row>
    <row r="43" spans="1:3" x14ac:dyDescent="0.25">
      <c r="A43" s="22" t="s">
        <v>290</v>
      </c>
      <c r="B43" s="25">
        <v>0.16</v>
      </c>
      <c r="C43" s="26">
        <v>8531900000</v>
      </c>
    </row>
    <row r="44" spans="1:3" x14ac:dyDescent="0.25">
      <c r="A44" s="22" t="s">
        <v>42</v>
      </c>
      <c r="B44" s="23">
        <v>0.17799999999999999</v>
      </c>
      <c r="C44" s="26">
        <v>8531900000</v>
      </c>
    </row>
    <row r="45" spans="1:3" x14ac:dyDescent="0.25">
      <c r="A45" s="22" t="s">
        <v>44</v>
      </c>
      <c r="B45" s="23">
        <v>0.13300000000000001</v>
      </c>
      <c r="C45" s="26">
        <v>8531900000</v>
      </c>
    </row>
    <row r="46" spans="1:3" x14ac:dyDescent="0.25">
      <c r="A46" s="22" t="s">
        <v>46</v>
      </c>
      <c r="B46" s="23">
        <v>0.53500000000000003</v>
      </c>
      <c r="C46" s="26">
        <v>8531900000</v>
      </c>
    </row>
    <row r="47" spans="1:3" x14ac:dyDescent="0.25">
      <c r="A47" s="22" t="s">
        <v>291</v>
      </c>
      <c r="B47" s="25">
        <v>1.052</v>
      </c>
      <c r="C47" s="26">
        <v>8531900000</v>
      </c>
    </row>
    <row r="48" spans="1:3" x14ac:dyDescent="0.25">
      <c r="A48" s="22" t="s">
        <v>292</v>
      </c>
      <c r="B48" s="25">
        <v>0.87</v>
      </c>
      <c r="C48" s="26">
        <v>8531900000</v>
      </c>
    </row>
    <row r="49" spans="1:3" x14ac:dyDescent="0.25">
      <c r="A49" s="22" t="s">
        <v>48</v>
      </c>
      <c r="B49" s="25">
        <v>0.41</v>
      </c>
      <c r="C49" s="26">
        <v>8531900000</v>
      </c>
    </row>
    <row r="50" spans="1:3" x14ac:dyDescent="0.25">
      <c r="A50" s="22" t="s">
        <v>293</v>
      </c>
      <c r="B50" s="23">
        <v>0.1</v>
      </c>
      <c r="C50" s="26">
        <v>8531900000</v>
      </c>
    </row>
    <row r="51" spans="1:3" x14ac:dyDescent="0.25">
      <c r="A51" s="22" t="s">
        <v>294</v>
      </c>
      <c r="B51" s="23">
        <v>0.11600000000000001</v>
      </c>
      <c r="C51" s="26">
        <v>8531900000</v>
      </c>
    </row>
    <row r="52" spans="1:3" x14ac:dyDescent="0.25">
      <c r="A52" s="22" t="s">
        <v>295</v>
      </c>
      <c r="B52" s="23">
        <v>0.1</v>
      </c>
      <c r="C52" s="26">
        <v>8531900000</v>
      </c>
    </row>
    <row r="53" spans="1:3" x14ac:dyDescent="0.25">
      <c r="A53" s="22" t="s">
        <v>50</v>
      </c>
      <c r="B53" s="23">
        <v>0.128</v>
      </c>
      <c r="C53" s="26">
        <v>8531900000</v>
      </c>
    </row>
    <row r="54" spans="1:3" x14ac:dyDescent="0.25">
      <c r="A54" s="22" t="s">
        <v>52</v>
      </c>
      <c r="B54" s="23">
        <v>0.13500000000000001</v>
      </c>
      <c r="C54" s="26">
        <v>8531900000</v>
      </c>
    </row>
    <row r="55" spans="1:3" x14ac:dyDescent="0.25">
      <c r="A55" s="22" t="s">
        <v>54</v>
      </c>
      <c r="B55" s="23">
        <v>0.13600000000000001</v>
      </c>
      <c r="C55" s="26">
        <v>8531900000</v>
      </c>
    </row>
    <row r="56" spans="1:3" x14ac:dyDescent="0.25">
      <c r="A56" s="22" t="s">
        <v>56</v>
      </c>
      <c r="B56" s="23">
        <v>0.13200000000000001</v>
      </c>
      <c r="C56" s="26">
        <v>8531900000</v>
      </c>
    </row>
    <row r="57" spans="1:3" x14ac:dyDescent="0.25">
      <c r="A57" s="22" t="s">
        <v>58</v>
      </c>
      <c r="B57" s="23">
        <v>0.13600000000000001</v>
      </c>
      <c r="C57" s="26">
        <v>8531900000</v>
      </c>
    </row>
    <row r="58" spans="1:3" x14ac:dyDescent="0.25">
      <c r="A58" s="22" t="s">
        <v>60</v>
      </c>
      <c r="B58" s="23">
        <v>0.14000000000000001</v>
      </c>
      <c r="C58" s="26">
        <v>8531900000</v>
      </c>
    </row>
    <row r="59" spans="1:3" x14ac:dyDescent="0.25">
      <c r="A59" s="22" t="s">
        <v>62</v>
      </c>
      <c r="B59" s="23">
        <v>4.7E-2</v>
      </c>
      <c r="C59" s="26">
        <v>8531900000</v>
      </c>
    </row>
    <row r="60" spans="1:3" x14ac:dyDescent="0.25">
      <c r="A60" s="22" t="s">
        <v>296</v>
      </c>
      <c r="B60" s="23">
        <v>6.5000000000000002E-2</v>
      </c>
      <c r="C60" s="26">
        <v>8531900000</v>
      </c>
    </row>
    <row r="61" spans="1:3" x14ac:dyDescent="0.25">
      <c r="A61" s="22" t="s">
        <v>64</v>
      </c>
      <c r="B61" s="23">
        <v>0.67700000000000005</v>
      </c>
      <c r="C61" s="26">
        <v>8531900000</v>
      </c>
    </row>
    <row r="62" spans="1:3" x14ac:dyDescent="0.25">
      <c r="A62" s="22" t="s">
        <v>297</v>
      </c>
      <c r="B62" s="25">
        <v>7.0000000000000007E-2</v>
      </c>
      <c r="C62" s="26">
        <v>8531900000</v>
      </c>
    </row>
    <row r="63" spans="1:3" x14ac:dyDescent="0.25">
      <c r="A63" s="22" t="s">
        <v>298</v>
      </c>
      <c r="B63" s="23">
        <v>0.182</v>
      </c>
      <c r="C63" s="26">
        <v>8531900000</v>
      </c>
    </row>
    <row r="64" spans="1:3" x14ac:dyDescent="0.25">
      <c r="A64" s="22" t="s">
        <v>66</v>
      </c>
      <c r="B64" s="23">
        <v>0.13700000000000001</v>
      </c>
      <c r="C64" s="26">
        <v>8531900000</v>
      </c>
    </row>
    <row r="65" spans="1:3" x14ac:dyDescent="0.25">
      <c r="A65" s="22" t="s">
        <v>299</v>
      </c>
      <c r="B65" s="23">
        <v>0.152</v>
      </c>
      <c r="C65" s="26">
        <v>8531900000</v>
      </c>
    </row>
    <row r="66" spans="1:3" x14ac:dyDescent="0.25">
      <c r="A66" s="22" t="s">
        <v>300</v>
      </c>
      <c r="B66" s="23">
        <v>0.15</v>
      </c>
      <c r="C66" s="26">
        <v>8531900000</v>
      </c>
    </row>
    <row r="67" spans="1:3" x14ac:dyDescent="0.25">
      <c r="A67" s="22" t="s">
        <v>301</v>
      </c>
      <c r="B67" s="23">
        <v>6.0000000000000001E-3</v>
      </c>
      <c r="C67" s="26">
        <v>8531900000</v>
      </c>
    </row>
    <row r="68" spans="1:3" x14ac:dyDescent="0.25">
      <c r="A68" s="22" t="s">
        <v>302</v>
      </c>
      <c r="B68" s="23">
        <v>5.0000000000000001E-3</v>
      </c>
      <c r="C68" s="26">
        <v>8531900000</v>
      </c>
    </row>
    <row r="69" spans="1:3" x14ac:dyDescent="0.25">
      <c r="A69" s="22" t="s">
        <v>303</v>
      </c>
      <c r="B69" s="23">
        <v>5.0000000000000001E-3</v>
      </c>
      <c r="C69" s="26">
        <v>8531900000</v>
      </c>
    </row>
    <row r="70" spans="1:3" x14ac:dyDescent="0.25">
      <c r="A70" s="22" t="s">
        <v>304</v>
      </c>
      <c r="B70" s="23">
        <v>6.0000000000000001E-3</v>
      </c>
      <c r="C70" s="26">
        <v>8531900000</v>
      </c>
    </row>
    <row r="71" spans="1:3" x14ac:dyDescent="0.25">
      <c r="A71" s="22" t="s">
        <v>305</v>
      </c>
      <c r="B71" s="23">
        <v>7.0000000000000001E-3</v>
      </c>
      <c r="C71" s="26">
        <v>8531900000</v>
      </c>
    </row>
    <row r="72" spans="1:3" x14ac:dyDescent="0.25">
      <c r="A72" s="22" t="s">
        <v>68</v>
      </c>
      <c r="B72" s="25">
        <v>0.34499999999999997</v>
      </c>
      <c r="C72" s="26">
        <v>8531900000</v>
      </c>
    </row>
    <row r="73" spans="1:3" x14ac:dyDescent="0.25">
      <c r="A73" s="22" t="s">
        <v>70</v>
      </c>
      <c r="B73" s="25">
        <v>0.02</v>
      </c>
      <c r="C73" s="26">
        <v>8531900000</v>
      </c>
    </row>
    <row r="74" spans="1:3" x14ac:dyDescent="0.25">
      <c r="A74" s="22" t="s">
        <v>72</v>
      </c>
      <c r="B74" s="25">
        <v>8.8999999999999996E-2</v>
      </c>
      <c r="C74" s="26">
        <v>8531900000</v>
      </c>
    </row>
    <row r="75" spans="1:3" x14ac:dyDescent="0.25">
      <c r="A75" s="22" t="s">
        <v>74</v>
      </c>
      <c r="B75" s="25">
        <v>3.7999999999999999E-2</v>
      </c>
      <c r="C75" s="26">
        <v>8531900000</v>
      </c>
    </row>
    <row r="76" spans="1:3" x14ac:dyDescent="0.25">
      <c r="A76" s="22" t="s">
        <v>306</v>
      </c>
      <c r="B76" s="25">
        <v>5.42</v>
      </c>
      <c r="C76" s="26">
        <v>8531900000</v>
      </c>
    </row>
    <row r="77" spans="1:3" x14ac:dyDescent="0.25">
      <c r="A77" s="22" t="s">
        <v>76</v>
      </c>
      <c r="B77" s="23">
        <v>4.3999999999999997E-2</v>
      </c>
      <c r="C77" s="24">
        <v>8523521000</v>
      </c>
    </row>
    <row r="78" spans="1:3" x14ac:dyDescent="0.25">
      <c r="A78" s="22" t="s">
        <v>78</v>
      </c>
      <c r="B78" s="23">
        <v>7.0000000000000001E-3</v>
      </c>
      <c r="C78" s="24">
        <v>8523521000</v>
      </c>
    </row>
    <row r="79" spans="1:3" x14ac:dyDescent="0.25">
      <c r="A79" s="22" t="s">
        <v>307</v>
      </c>
      <c r="B79" s="27">
        <v>0.215</v>
      </c>
      <c r="C79" s="24">
        <v>8523521000</v>
      </c>
    </row>
    <row r="80" spans="1:3" x14ac:dyDescent="0.25">
      <c r="A80" s="22" t="s">
        <v>80</v>
      </c>
      <c r="B80" s="25">
        <v>0.108</v>
      </c>
      <c r="C80" s="24">
        <v>8523521000</v>
      </c>
    </row>
    <row r="81" spans="1:3" x14ac:dyDescent="0.25">
      <c r="A81" s="22" t="s">
        <v>82</v>
      </c>
      <c r="B81" s="25">
        <v>1.157</v>
      </c>
      <c r="C81" s="24">
        <v>8531900000</v>
      </c>
    </row>
    <row r="82" spans="1:3" x14ac:dyDescent="0.25">
      <c r="A82" s="22" t="s">
        <v>84</v>
      </c>
      <c r="B82" s="25">
        <v>2.75</v>
      </c>
      <c r="C82" s="24">
        <v>8531900000</v>
      </c>
    </row>
    <row r="83" spans="1:3" x14ac:dyDescent="0.25">
      <c r="A83" s="22" t="s">
        <v>86</v>
      </c>
      <c r="B83" s="25">
        <v>1.96</v>
      </c>
      <c r="C83" s="24">
        <v>8531900000</v>
      </c>
    </row>
    <row r="84" spans="1:3" x14ac:dyDescent="0.25">
      <c r="A84" s="22" t="s">
        <v>308</v>
      </c>
      <c r="B84" s="25">
        <v>0.12</v>
      </c>
      <c r="C84" s="24">
        <v>8531900000</v>
      </c>
    </row>
    <row r="85" spans="1:3" x14ac:dyDescent="0.25">
      <c r="A85" s="22" t="s">
        <v>88</v>
      </c>
      <c r="B85" s="25">
        <v>0.11799999999999999</v>
      </c>
      <c r="C85" s="24">
        <v>8531900000</v>
      </c>
    </row>
    <row r="86" spans="1:3" x14ac:dyDescent="0.25">
      <c r="A86" s="22" t="s">
        <v>309</v>
      </c>
      <c r="B86" s="25">
        <v>0.1</v>
      </c>
      <c r="C86" s="24">
        <v>8531900000</v>
      </c>
    </row>
    <row r="87" spans="1:3" x14ac:dyDescent="0.25">
      <c r="A87" s="22" t="s">
        <v>90</v>
      </c>
      <c r="B87" s="25">
        <v>0.14499999999999999</v>
      </c>
      <c r="C87" s="24">
        <v>8531900000</v>
      </c>
    </row>
    <row r="88" spans="1:3" x14ac:dyDescent="0.25">
      <c r="A88" s="22" t="s">
        <v>92</v>
      </c>
      <c r="B88" s="25">
        <v>0.14299999999999999</v>
      </c>
      <c r="C88" s="24">
        <v>8531900000</v>
      </c>
    </row>
    <row r="89" spans="1:3" x14ac:dyDescent="0.25">
      <c r="A89" s="22" t="s">
        <v>94</v>
      </c>
      <c r="B89" s="25">
        <v>8.2000000000000003E-2</v>
      </c>
      <c r="C89" s="24">
        <v>8531900000</v>
      </c>
    </row>
    <row r="90" spans="1:3" x14ac:dyDescent="0.25">
      <c r="A90" s="22" t="s">
        <v>310</v>
      </c>
      <c r="B90" s="25">
        <v>0.08</v>
      </c>
      <c r="C90" s="24">
        <v>8531900000</v>
      </c>
    </row>
    <row r="91" spans="1:3" x14ac:dyDescent="0.25">
      <c r="A91" s="22" t="s">
        <v>311</v>
      </c>
      <c r="B91" s="25">
        <v>0.08</v>
      </c>
      <c r="C91" s="24">
        <v>8531900000</v>
      </c>
    </row>
    <row r="92" spans="1:3" x14ac:dyDescent="0.25">
      <c r="A92" s="22" t="s">
        <v>96</v>
      </c>
      <c r="B92" s="25">
        <v>0.08</v>
      </c>
      <c r="C92" s="24">
        <v>8531900000</v>
      </c>
    </row>
    <row r="93" spans="1:3" x14ac:dyDescent="0.25">
      <c r="A93" s="22" t="s">
        <v>98</v>
      </c>
      <c r="B93" s="25">
        <v>0.22800000000000001</v>
      </c>
      <c r="C93" s="26">
        <v>8531204090</v>
      </c>
    </row>
    <row r="94" spans="1:3" x14ac:dyDescent="0.25">
      <c r="A94" s="22" t="s">
        <v>312</v>
      </c>
      <c r="B94" s="25">
        <v>0.22800000000000001</v>
      </c>
      <c r="C94" s="26">
        <v>8531204090</v>
      </c>
    </row>
    <row r="95" spans="1:3" x14ac:dyDescent="0.25">
      <c r="A95" s="22" t="s">
        <v>313</v>
      </c>
      <c r="B95" s="25">
        <v>0.22800000000000001</v>
      </c>
      <c r="C95" s="26">
        <v>8531204090</v>
      </c>
    </row>
    <row r="96" spans="1:3" x14ac:dyDescent="0.25">
      <c r="A96" s="22" t="s">
        <v>100</v>
      </c>
      <c r="B96" s="25">
        <v>0.32</v>
      </c>
      <c r="C96" s="26">
        <v>8531204090</v>
      </c>
    </row>
    <row r="97" spans="1:3" x14ac:dyDescent="0.25">
      <c r="A97" s="22" t="s">
        <v>102</v>
      </c>
      <c r="B97" s="23">
        <v>0.78</v>
      </c>
      <c r="C97" s="26">
        <v>8531204090</v>
      </c>
    </row>
    <row r="98" spans="1:3" x14ac:dyDescent="0.25">
      <c r="A98" s="22" t="s">
        <v>106</v>
      </c>
      <c r="B98" s="23">
        <v>0.82</v>
      </c>
      <c r="C98" s="26">
        <v>8531204090</v>
      </c>
    </row>
    <row r="99" spans="1:3" x14ac:dyDescent="0.25">
      <c r="A99" s="22" t="s">
        <v>108</v>
      </c>
      <c r="B99" s="28">
        <v>0.33</v>
      </c>
      <c r="C99" s="24">
        <v>8531900000</v>
      </c>
    </row>
    <row r="100" spans="1:3" x14ac:dyDescent="0.25">
      <c r="A100" s="22" t="s">
        <v>110</v>
      </c>
      <c r="B100" s="25">
        <v>0.19500000000000001</v>
      </c>
      <c r="C100" s="24">
        <v>8504408290</v>
      </c>
    </row>
    <row r="101" spans="1:3" x14ac:dyDescent="0.25">
      <c r="A101" s="22" t="s">
        <v>112</v>
      </c>
      <c r="B101" s="23">
        <v>0.32</v>
      </c>
      <c r="C101" s="24">
        <v>8504408290</v>
      </c>
    </row>
    <row r="102" spans="1:3" x14ac:dyDescent="0.25">
      <c r="A102" s="22" t="s">
        <v>114</v>
      </c>
      <c r="B102" s="25">
        <v>0.35799999999999998</v>
      </c>
      <c r="C102" s="24">
        <v>8504408290</v>
      </c>
    </row>
    <row r="103" spans="1:3" x14ac:dyDescent="0.25">
      <c r="A103" s="22" t="s">
        <v>314</v>
      </c>
      <c r="B103" s="23">
        <v>0.2</v>
      </c>
      <c r="C103" s="24">
        <v>8504408290</v>
      </c>
    </row>
    <row r="104" spans="1:3" x14ac:dyDescent="0.25">
      <c r="A104" s="22" t="s">
        <v>116</v>
      </c>
      <c r="B104" s="25">
        <v>6.7000000000000004E-2</v>
      </c>
      <c r="C104" s="24">
        <v>8531900000</v>
      </c>
    </row>
    <row r="105" spans="1:3" x14ac:dyDescent="0.25">
      <c r="A105" s="22" t="s">
        <v>120</v>
      </c>
      <c r="B105" s="25">
        <v>0.08</v>
      </c>
      <c r="C105" s="24">
        <v>8531900000</v>
      </c>
    </row>
    <row r="106" spans="1:3" x14ac:dyDescent="0.25">
      <c r="A106" s="22" t="s">
        <v>122</v>
      </c>
      <c r="B106" s="23">
        <v>0.3</v>
      </c>
      <c r="C106" s="24">
        <v>8471900000</v>
      </c>
    </row>
    <row r="107" spans="1:3" x14ac:dyDescent="0.25">
      <c r="A107" s="22" t="s">
        <v>315</v>
      </c>
      <c r="B107" s="25">
        <v>0.1</v>
      </c>
      <c r="C107" s="24">
        <v>8531900000</v>
      </c>
    </row>
    <row r="108" spans="1:3" x14ac:dyDescent="0.25">
      <c r="A108" s="22" t="s">
        <v>316</v>
      </c>
      <c r="B108" s="25">
        <v>3.1E-2</v>
      </c>
      <c r="C108" s="24">
        <v>8531900000</v>
      </c>
    </row>
    <row r="109" spans="1:3" x14ac:dyDescent="0.25">
      <c r="A109" s="22" t="s">
        <v>317</v>
      </c>
      <c r="B109" s="25">
        <v>0.35</v>
      </c>
      <c r="C109" s="24">
        <v>8531900000</v>
      </c>
    </row>
    <row r="110" spans="1:3" x14ac:dyDescent="0.25">
      <c r="A110" s="22" t="s">
        <v>126</v>
      </c>
      <c r="B110" s="25">
        <v>0.35</v>
      </c>
      <c r="C110" s="24">
        <v>8531900000</v>
      </c>
    </row>
    <row r="111" spans="1:3" x14ac:dyDescent="0.25">
      <c r="A111" s="22" t="s">
        <v>318</v>
      </c>
      <c r="B111" s="25">
        <v>2.2240000000000002</v>
      </c>
      <c r="C111" s="24">
        <v>8531804090</v>
      </c>
    </row>
    <row r="112" spans="1:3" x14ac:dyDescent="0.25">
      <c r="A112" s="22" t="s">
        <v>138</v>
      </c>
      <c r="B112" s="25">
        <v>2.23</v>
      </c>
      <c r="C112" s="24">
        <v>8531804090</v>
      </c>
    </row>
    <row r="113" spans="1:3" x14ac:dyDescent="0.25">
      <c r="A113" s="22" t="s">
        <v>140</v>
      </c>
      <c r="B113" s="25">
        <v>2.23</v>
      </c>
      <c r="C113" s="24">
        <v>8531900000</v>
      </c>
    </row>
    <row r="114" spans="1:3" x14ac:dyDescent="0.25">
      <c r="A114" s="22" t="s">
        <v>319</v>
      </c>
      <c r="B114" s="23">
        <v>0.30099999999999999</v>
      </c>
      <c r="C114" s="24">
        <v>8525800000</v>
      </c>
    </row>
    <row r="115" spans="1:3" x14ac:dyDescent="0.25">
      <c r="A115" s="22" t="s">
        <v>320</v>
      </c>
      <c r="B115" s="23">
        <v>0.30099999999999999</v>
      </c>
      <c r="C115" s="24">
        <v>8525800000</v>
      </c>
    </row>
    <row r="116" spans="1:3" x14ac:dyDescent="0.25">
      <c r="A116" s="22" t="s">
        <v>321</v>
      </c>
      <c r="B116" s="23">
        <v>0.5</v>
      </c>
      <c r="C116" s="24">
        <v>8525800000</v>
      </c>
    </row>
    <row r="117" spans="1:3" x14ac:dyDescent="0.25">
      <c r="A117" s="22" t="s">
        <v>144</v>
      </c>
      <c r="B117" s="23">
        <v>0.7</v>
      </c>
      <c r="C117" s="24">
        <v>8525800000</v>
      </c>
    </row>
    <row r="118" spans="1:3" x14ac:dyDescent="0.25">
      <c r="A118" s="22" t="s">
        <v>322</v>
      </c>
      <c r="B118" s="23">
        <v>0.42</v>
      </c>
      <c r="C118" s="24">
        <v>8525800000</v>
      </c>
    </row>
    <row r="119" spans="1:3" x14ac:dyDescent="0.25">
      <c r="A119" s="22" t="s">
        <v>323</v>
      </c>
      <c r="B119" s="23">
        <v>1.2789999999999999</v>
      </c>
      <c r="C119" s="24">
        <v>8525800000</v>
      </c>
    </row>
    <row r="120" spans="1:3" x14ac:dyDescent="0.25">
      <c r="A120" s="22" t="s">
        <v>324</v>
      </c>
      <c r="B120" s="23">
        <v>1.107</v>
      </c>
      <c r="C120" s="24">
        <v>8525800000</v>
      </c>
    </row>
    <row r="121" spans="1:3" x14ac:dyDescent="0.25">
      <c r="A121" s="22" t="s">
        <v>325</v>
      </c>
      <c r="B121" s="23">
        <v>0.215</v>
      </c>
      <c r="C121" s="24">
        <v>8525800000</v>
      </c>
    </row>
    <row r="122" spans="1:3" x14ac:dyDescent="0.25">
      <c r="A122" s="22" t="s">
        <v>326</v>
      </c>
      <c r="B122" s="23">
        <v>0.57899999999999996</v>
      </c>
      <c r="C122" s="24">
        <v>8525800000</v>
      </c>
    </row>
    <row r="123" spans="1:3" x14ac:dyDescent="0.25">
      <c r="A123" s="22" t="s">
        <v>327</v>
      </c>
      <c r="B123" s="23">
        <v>0.91600000000000004</v>
      </c>
      <c r="C123" s="24">
        <v>8525800000</v>
      </c>
    </row>
    <row r="124" spans="1:3" x14ac:dyDescent="0.25">
      <c r="A124" s="22" t="s">
        <v>328</v>
      </c>
      <c r="B124" s="23">
        <v>4.7569999999999997</v>
      </c>
      <c r="C124" s="24">
        <v>8525800000</v>
      </c>
    </row>
    <row r="125" spans="1:3" x14ac:dyDescent="0.25">
      <c r="A125" s="22" t="s">
        <v>154</v>
      </c>
      <c r="B125" s="23" t="s">
        <v>275</v>
      </c>
      <c r="C125" s="24">
        <v>8531804000</v>
      </c>
    </row>
    <row r="126" spans="1:3" x14ac:dyDescent="0.25">
      <c r="A126" s="22" t="s">
        <v>156</v>
      </c>
      <c r="B126" s="23">
        <v>0.57299999999999995</v>
      </c>
      <c r="C126" s="24">
        <v>8531804000</v>
      </c>
    </row>
    <row r="127" spans="1:3" x14ac:dyDescent="0.25">
      <c r="A127" s="22" t="s">
        <v>162</v>
      </c>
      <c r="B127" s="23">
        <v>0.35</v>
      </c>
      <c r="C127" s="24">
        <v>8529909299</v>
      </c>
    </row>
    <row r="128" spans="1:3" x14ac:dyDescent="0.25">
      <c r="A128" s="22" t="s">
        <v>164</v>
      </c>
      <c r="B128" s="23">
        <v>0.29499999999999998</v>
      </c>
      <c r="C128" s="24">
        <v>8529909299</v>
      </c>
    </row>
    <row r="129" spans="1:3" x14ac:dyDescent="0.25">
      <c r="A129" s="22" t="s">
        <v>166</v>
      </c>
      <c r="B129" s="23">
        <v>0.3</v>
      </c>
      <c r="C129" s="28">
        <v>8529909299</v>
      </c>
    </row>
    <row r="130" spans="1:3" x14ac:dyDescent="0.25">
      <c r="A130" s="22" t="s">
        <v>329</v>
      </c>
      <c r="B130" s="23">
        <v>0.56999999999999995</v>
      </c>
      <c r="C130" s="24">
        <v>8529909299</v>
      </c>
    </row>
    <row r="131" spans="1:3" x14ac:dyDescent="0.25">
      <c r="A131" s="22" t="s">
        <v>330</v>
      </c>
      <c r="B131" s="23">
        <v>0.92</v>
      </c>
      <c r="C131" s="24">
        <v>8529909299</v>
      </c>
    </row>
    <row r="132" spans="1:3" x14ac:dyDescent="0.25">
      <c r="A132" s="22" t="s">
        <v>331</v>
      </c>
      <c r="B132" s="23">
        <v>0.23</v>
      </c>
      <c r="C132" s="24">
        <v>8529909299</v>
      </c>
    </row>
    <row r="133" spans="1:3" x14ac:dyDescent="0.25">
      <c r="A133" s="22" t="s">
        <v>332</v>
      </c>
      <c r="B133" s="23">
        <v>1.669</v>
      </c>
      <c r="C133" s="24">
        <v>8521900090</v>
      </c>
    </row>
    <row r="134" spans="1:3" x14ac:dyDescent="0.25">
      <c r="A134" s="22" t="s">
        <v>333</v>
      </c>
      <c r="B134" s="23">
        <v>1.97</v>
      </c>
      <c r="C134" s="24">
        <v>8521900090</v>
      </c>
    </row>
    <row r="135" spans="1:3" x14ac:dyDescent="0.25">
      <c r="A135" s="22" t="s">
        <v>334</v>
      </c>
      <c r="B135" s="23">
        <v>1.2330000000000001</v>
      </c>
      <c r="C135" s="24">
        <v>8521900090</v>
      </c>
    </row>
    <row r="136" spans="1:3" x14ac:dyDescent="0.25">
      <c r="A136" s="22" t="s">
        <v>335</v>
      </c>
      <c r="B136" s="29" t="s">
        <v>275</v>
      </c>
      <c r="C136" s="24">
        <v>8521900090</v>
      </c>
    </row>
    <row r="137" spans="1:3" x14ac:dyDescent="0.25">
      <c r="A137" s="22" t="s">
        <v>178</v>
      </c>
      <c r="B137" s="25">
        <v>4.3999999999999997E-2</v>
      </c>
      <c r="C137" s="24">
        <v>8531900000</v>
      </c>
    </row>
    <row r="138" spans="1:3" x14ac:dyDescent="0.25">
      <c r="A138" s="22" t="s">
        <v>336</v>
      </c>
      <c r="B138" s="25">
        <v>0.107</v>
      </c>
      <c r="C138" s="24">
        <v>8544429000</v>
      </c>
    </row>
    <row r="139" spans="1:3" x14ac:dyDescent="0.25">
      <c r="A139" s="22" t="s">
        <v>337</v>
      </c>
      <c r="B139" s="23">
        <v>0.14099999999999999</v>
      </c>
      <c r="C139" s="24">
        <v>8531900000</v>
      </c>
    </row>
    <row r="140" spans="1:3" x14ac:dyDescent="0.25">
      <c r="A140" s="22" t="s">
        <v>180</v>
      </c>
      <c r="B140" s="23">
        <v>0.04</v>
      </c>
      <c r="C140" s="24">
        <v>8531900000</v>
      </c>
    </row>
    <row r="141" spans="1:3" x14ac:dyDescent="0.25">
      <c r="A141" s="22" t="s">
        <v>182</v>
      </c>
      <c r="B141" s="23">
        <v>0.66500000000000004</v>
      </c>
      <c r="C141" s="24">
        <v>8531900000</v>
      </c>
    </row>
    <row r="142" spans="1:3" x14ac:dyDescent="0.25">
      <c r="A142" s="22" t="s">
        <v>338</v>
      </c>
      <c r="B142" s="23">
        <v>1.9139999999999999</v>
      </c>
      <c r="C142" s="24">
        <v>8531103000</v>
      </c>
    </row>
    <row r="143" spans="1:3" x14ac:dyDescent="0.25">
      <c r="A143" s="22" t="s">
        <v>339</v>
      </c>
      <c r="B143" s="23">
        <v>1.94</v>
      </c>
      <c r="C143" s="24">
        <v>8531103000</v>
      </c>
    </row>
    <row r="144" spans="1:3" x14ac:dyDescent="0.25">
      <c r="A144" s="22" t="s">
        <v>184</v>
      </c>
      <c r="B144" s="25">
        <v>0.19500000000000001</v>
      </c>
      <c r="C144" s="24">
        <v>8531900000</v>
      </c>
    </row>
    <row r="145" spans="1:3" x14ac:dyDescent="0.25">
      <c r="A145" s="22" t="s">
        <v>186</v>
      </c>
      <c r="B145" s="23">
        <v>0.3</v>
      </c>
      <c r="C145" s="24">
        <v>8531900000</v>
      </c>
    </row>
    <row r="146" spans="1:3" x14ac:dyDescent="0.25">
      <c r="A146" s="22" t="s">
        <v>188</v>
      </c>
      <c r="B146" s="23">
        <v>0.08</v>
      </c>
      <c r="C146" s="24">
        <v>8531900000</v>
      </c>
    </row>
    <row r="147" spans="1:3" x14ac:dyDescent="0.25">
      <c r="A147" s="22" t="s">
        <v>340</v>
      </c>
      <c r="B147" s="23">
        <v>0.3</v>
      </c>
      <c r="C147" s="24">
        <v>8531900000</v>
      </c>
    </row>
    <row r="148" spans="1:3" x14ac:dyDescent="0.25">
      <c r="A148" s="22" t="s">
        <v>190</v>
      </c>
      <c r="B148" s="23">
        <v>0.3</v>
      </c>
      <c r="C148" s="24">
        <v>8531900000</v>
      </c>
    </row>
    <row r="149" spans="1:3" x14ac:dyDescent="0.25">
      <c r="A149" s="22" t="s">
        <v>341</v>
      </c>
      <c r="B149" s="23">
        <v>0.3</v>
      </c>
      <c r="C149" s="24">
        <v>8531900000</v>
      </c>
    </row>
    <row r="150" spans="1:3" x14ac:dyDescent="0.25">
      <c r="A150" s="22" t="s">
        <v>192</v>
      </c>
      <c r="B150" s="23">
        <v>0.83</v>
      </c>
      <c r="C150" s="24">
        <v>8531103000</v>
      </c>
    </row>
    <row r="151" spans="1:3" x14ac:dyDescent="0.25">
      <c r="A151" s="22" t="s">
        <v>194</v>
      </c>
      <c r="B151" s="23">
        <v>0.83</v>
      </c>
      <c r="C151" s="24">
        <v>8531103000</v>
      </c>
    </row>
    <row r="152" spans="1:3" x14ac:dyDescent="0.25">
      <c r="A152" s="22" t="s">
        <v>196</v>
      </c>
      <c r="B152" s="26">
        <v>0.83</v>
      </c>
      <c r="C152" s="24">
        <v>8531103000</v>
      </c>
    </row>
    <row r="153" spans="1:3" x14ac:dyDescent="0.25">
      <c r="A153" s="22" t="s">
        <v>342</v>
      </c>
      <c r="B153" s="26">
        <v>0.83</v>
      </c>
      <c r="C153" s="24">
        <v>8531103000</v>
      </c>
    </row>
    <row r="154" spans="1:3" x14ac:dyDescent="0.25">
      <c r="A154" s="22" t="s">
        <v>343</v>
      </c>
      <c r="B154" s="23">
        <v>1.27</v>
      </c>
      <c r="C154" s="24">
        <v>8531103000</v>
      </c>
    </row>
    <row r="155" spans="1:3" x14ac:dyDescent="0.25">
      <c r="A155" s="22" t="s">
        <v>344</v>
      </c>
      <c r="B155" s="23">
        <v>1.27</v>
      </c>
      <c r="C155" s="24">
        <v>8531103000</v>
      </c>
    </row>
    <row r="156" spans="1:3" x14ac:dyDescent="0.25">
      <c r="A156" s="22" t="s">
        <v>345</v>
      </c>
      <c r="B156" s="23">
        <v>1.27</v>
      </c>
      <c r="C156" s="24">
        <v>8531103000</v>
      </c>
    </row>
    <row r="157" spans="1:3" x14ac:dyDescent="0.25">
      <c r="A157" s="22" t="s">
        <v>346</v>
      </c>
      <c r="B157" s="23">
        <v>1.27</v>
      </c>
      <c r="C157" s="24">
        <v>8531103000</v>
      </c>
    </row>
    <row r="158" spans="1:3" x14ac:dyDescent="0.25">
      <c r="A158" s="22" t="s">
        <v>200</v>
      </c>
      <c r="B158" s="25">
        <v>1.171</v>
      </c>
      <c r="C158" s="24">
        <v>8531804090</v>
      </c>
    </row>
    <row r="159" spans="1:3" x14ac:dyDescent="0.25">
      <c r="A159" s="22" t="s">
        <v>202</v>
      </c>
      <c r="B159" s="25">
        <v>0.57199999999999995</v>
      </c>
      <c r="C159" s="24">
        <v>8531804090</v>
      </c>
    </row>
    <row r="160" spans="1:3" x14ac:dyDescent="0.25">
      <c r="A160" s="22" t="s">
        <v>204</v>
      </c>
      <c r="B160" s="23">
        <v>3.5000000000000003E-2</v>
      </c>
      <c r="C160" s="24">
        <v>8531900000</v>
      </c>
    </row>
    <row r="161" spans="1:3" x14ac:dyDescent="0.25">
      <c r="A161" s="22" t="s">
        <v>206</v>
      </c>
      <c r="B161" s="23">
        <v>4.1000000000000002E-2</v>
      </c>
      <c r="C161" s="24">
        <v>8531900000</v>
      </c>
    </row>
    <row r="162" spans="1:3" x14ac:dyDescent="0.25">
      <c r="A162" s="22" t="s">
        <v>208</v>
      </c>
      <c r="B162" s="23">
        <v>8.5000000000000006E-2</v>
      </c>
      <c r="C162" s="30">
        <v>8531900000</v>
      </c>
    </row>
    <row r="163" spans="1:3" x14ac:dyDescent="0.25">
      <c r="A163" s="22" t="s">
        <v>347</v>
      </c>
      <c r="B163" s="25">
        <v>0.20499999999999999</v>
      </c>
      <c r="C163" s="30">
        <v>8536501999</v>
      </c>
    </row>
    <row r="164" spans="1:3" x14ac:dyDescent="0.25">
      <c r="A164" s="22" t="s">
        <v>210</v>
      </c>
      <c r="B164" s="25">
        <v>0.14000000000000001</v>
      </c>
      <c r="C164" s="30">
        <v>8531900000</v>
      </c>
    </row>
    <row r="165" spans="1:3" x14ac:dyDescent="0.25">
      <c r="A165" s="22" t="s">
        <v>212</v>
      </c>
      <c r="B165" s="23">
        <v>0.107</v>
      </c>
      <c r="C165" s="30">
        <v>8531900000</v>
      </c>
    </row>
    <row r="166" spans="1:3" x14ac:dyDescent="0.25">
      <c r="A166" s="22" t="s">
        <v>348</v>
      </c>
      <c r="B166" s="23">
        <v>7.3999999999999996E-2</v>
      </c>
      <c r="C166" s="30">
        <v>8531204090</v>
      </c>
    </row>
    <row r="167" spans="1:3" x14ac:dyDescent="0.25">
      <c r="A167" s="22" t="s">
        <v>214</v>
      </c>
      <c r="B167" s="25">
        <v>0.11</v>
      </c>
      <c r="C167" s="30">
        <v>8531900000</v>
      </c>
    </row>
    <row r="168" spans="1:3" x14ac:dyDescent="0.25">
      <c r="A168" s="22" t="s">
        <v>216</v>
      </c>
      <c r="B168" s="25">
        <v>0.16300000000000001</v>
      </c>
      <c r="C168" s="30">
        <v>8531900000</v>
      </c>
    </row>
    <row r="169" spans="1:3" x14ac:dyDescent="0.25">
      <c r="A169" s="22" t="s">
        <v>218</v>
      </c>
      <c r="B169" s="23">
        <v>0.04</v>
      </c>
      <c r="C169" s="24">
        <v>8531103000</v>
      </c>
    </row>
    <row r="170" spans="1:3" x14ac:dyDescent="0.25">
      <c r="A170" s="22" t="s">
        <v>349</v>
      </c>
      <c r="B170" s="23">
        <v>0.04</v>
      </c>
      <c r="C170" s="24">
        <v>8531103000</v>
      </c>
    </row>
    <row r="171" spans="1:3" x14ac:dyDescent="0.25">
      <c r="A171" s="22" t="s">
        <v>220</v>
      </c>
      <c r="B171" s="25">
        <v>0.45100000000000001</v>
      </c>
      <c r="C171" s="24">
        <v>8531900000</v>
      </c>
    </row>
    <row r="172" spans="1:3" x14ac:dyDescent="0.25">
      <c r="A172" s="22" t="s">
        <v>222</v>
      </c>
      <c r="B172" s="25">
        <v>0.46400000000000002</v>
      </c>
      <c r="C172" s="24">
        <v>8531900000</v>
      </c>
    </row>
    <row r="173" spans="1:3" x14ac:dyDescent="0.25">
      <c r="A173" s="22" t="s">
        <v>224</v>
      </c>
      <c r="B173" s="25">
        <v>0.44500000000000001</v>
      </c>
      <c r="C173" s="24">
        <v>8531900000</v>
      </c>
    </row>
    <row r="174" spans="1:3" x14ac:dyDescent="0.25">
      <c r="A174" s="22" t="s">
        <v>226</v>
      </c>
      <c r="B174" s="25">
        <v>0.46</v>
      </c>
      <c r="C174" s="24">
        <v>8531900000</v>
      </c>
    </row>
    <row r="175" spans="1:3" x14ac:dyDescent="0.25">
      <c r="A175" s="22" t="s">
        <v>228</v>
      </c>
      <c r="B175" s="23">
        <v>0.161</v>
      </c>
      <c r="C175" s="24">
        <v>8531900000</v>
      </c>
    </row>
    <row r="176" spans="1:3" x14ac:dyDescent="0.25">
      <c r="A176" s="22" t="s">
        <v>230</v>
      </c>
      <c r="B176" s="23">
        <v>0.1</v>
      </c>
      <c r="C176" s="24">
        <v>8531900000</v>
      </c>
    </row>
    <row r="177" spans="1:3" x14ac:dyDescent="0.25">
      <c r="A177" s="22" t="s">
        <v>232</v>
      </c>
      <c r="B177" s="23">
        <v>0.08</v>
      </c>
      <c r="C177" s="24">
        <v>8531900000</v>
      </c>
    </row>
    <row r="178" spans="1:3" x14ac:dyDescent="0.25">
      <c r="A178" s="22" t="s">
        <v>350</v>
      </c>
      <c r="B178" s="23">
        <v>0.08</v>
      </c>
      <c r="C178" s="24">
        <v>8531900000</v>
      </c>
    </row>
    <row r="179" spans="1:3" x14ac:dyDescent="0.25">
      <c r="A179" s="22" t="s">
        <v>234</v>
      </c>
      <c r="B179" s="23">
        <v>4.4999999999999998E-2</v>
      </c>
      <c r="C179" s="24">
        <v>8531900000</v>
      </c>
    </row>
    <row r="180" spans="1:3" x14ac:dyDescent="0.25">
      <c r="A180" s="22" t="s">
        <v>351</v>
      </c>
      <c r="B180" s="23">
        <v>4.4999999999999998E-2</v>
      </c>
      <c r="C180" s="24">
        <v>8531900000</v>
      </c>
    </row>
    <row r="181" spans="1:3" x14ac:dyDescent="0.25">
      <c r="A181" s="22" t="s">
        <v>352</v>
      </c>
      <c r="B181" s="25">
        <v>0.2</v>
      </c>
      <c r="C181" s="24">
        <v>8531900000</v>
      </c>
    </row>
    <row r="182" spans="1:3" x14ac:dyDescent="0.25">
      <c r="A182" s="22" t="s">
        <v>236</v>
      </c>
      <c r="B182" s="25">
        <v>0.2</v>
      </c>
      <c r="C182" s="24">
        <v>8531900000</v>
      </c>
    </row>
    <row r="183" spans="1:3" x14ac:dyDescent="0.25">
      <c r="A183" s="22" t="s">
        <v>353</v>
      </c>
      <c r="B183" s="25">
        <v>0.2</v>
      </c>
      <c r="C183" s="24">
        <v>8531900000</v>
      </c>
    </row>
    <row r="184" spans="1:3" x14ac:dyDescent="0.25">
      <c r="A184" s="22" t="s">
        <v>240</v>
      </c>
      <c r="B184" s="25">
        <v>0.186</v>
      </c>
      <c r="C184" s="24">
        <v>8531900000</v>
      </c>
    </row>
    <row r="185" spans="1:3" x14ac:dyDescent="0.25">
      <c r="A185" s="22" t="s">
        <v>354</v>
      </c>
      <c r="B185" s="25">
        <v>0.186</v>
      </c>
      <c r="C185" s="24">
        <v>8531900000</v>
      </c>
    </row>
    <row r="186" spans="1:3" x14ac:dyDescent="0.25">
      <c r="A186" s="22" t="s">
        <v>242</v>
      </c>
      <c r="B186" s="23">
        <v>7.4999999999999997E-2</v>
      </c>
      <c r="C186" s="24">
        <v>8531900000</v>
      </c>
    </row>
    <row r="187" spans="1:3" x14ac:dyDescent="0.25">
      <c r="A187" s="22" t="s">
        <v>244</v>
      </c>
      <c r="B187" s="23">
        <v>8.1000000000000003E-2</v>
      </c>
      <c r="C187" s="24">
        <v>8531900000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Mendez</dc:creator>
  <cp:lastModifiedBy>David Da Costa</cp:lastModifiedBy>
  <dcterms:created xsi:type="dcterms:W3CDTF">2025-12-01T20:14:58Z</dcterms:created>
  <dcterms:modified xsi:type="dcterms:W3CDTF">2026-03-26T11:30:32Z</dcterms:modified>
</cp:coreProperties>
</file>